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mac/Desktop/SAGE_Lab/data_splitting_strategies/ensemble_sheet/"/>
    </mc:Choice>
  </mc:AlternateContent>
  <xr:revisionPtr revIDLastSave="0" documentId="8_{48C21D96-5A63-2149-B4A0-63A3FE4F7757}" xr6:coauthVersionLast="47" xr6:coauthVersionMax="47" xr10:uidLastSave="{00000000-0000-0000-0000-000000000000}"/>
  <bookViews>
    <workbookView xWindow="0" yWindow="740" windowWidth="28720" windowHeight="17220" activeTab="7" xr2:uid="{1A680C01-84CD-8246-8ADA-A5A59A36231C}"/>
  </bookViews>
  <sheets>
    <sheet name="bace" sheetId="1" r:id="rId1"/>
    <sheet name="bbbp" sheetId="2" r:id="rId2"/>
    <sheet name="clintox" sheetId="3" r:id="rId3"/>
    <sheet name="sider" sheetId="4" r:id="rId4"/>
    <sheet name="tox21" sheetId="5" r:id="rId5"/>
    <sheet name="delaney" sheetId="6" r:id="rId6"/>
    <sheet name="freesolv" sheetId="7" r:id="rId7"/>
    <sheet name="lipo" sheetId="8" r:id="rId8"/>
  </sheets>
  <definedNames>
    <definedName name="spectra_ensemble_bace" localSheetId="0">bace!$A$1:$G$58</definedName>
    <definedName name="spectra_ensemble_bbbp" localSheetId="1">bbbp!$A$1:$G$62</definedName>
    <definedName name="spectra_ensemble_clintox" localSheetId="2">clintox!$A$1:$G$55</definedName>
    <definedName name="spectra_ensemble_delaney" localSheetId="5">delaney!$A$1:$G$64</definedName>
    <definedName name="spectra_ensemble_freesolv_1" localSheetId="6">freesolv!$A$1:$G$64</definedName>
    <definedName name="spectra_ensemble_lipo" localSheetId="7">lipo!$A$1:$G$60</definedName>
    <definedName name="spectra_ensemble_sider" localSheetId="3">sider!$A$1:$G$64</definedName>
    <definedName name="spectra_ensemble_tox21" localSheetId="4">'tox21'!$A$1:$G$64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8" l="1"/>
  <c r="L22" i="8"/>
  <c r="M21" i="8"/>
  <c r="M20" i="8"/>
  <c r="L20" i="8"/>
  <c r="M17" i="8"/>
  <c r="M15" i="8"/>
  <c r="L12" i="8"/>
  <c r="M11" i="8"/>
  <c r="L8" i="8"/>
  <c r="M7" i="8"/>
  <c r="L4" i="8"/>
  <c r="M3" i="8"/>
  <c r="L22" i="7"/>
  <c r="L21" i="7"/>
  <c r="M20" i="7"/>
  <c r="L19" i="7"/>
  <c r="L18" i="7"/>
  <c r="L17" i="7"/>
  <c r="M16" i="7"/>
  <c r="M12" i="7"/>
  <c r="M8" i="7"/>
  <c r="M4" i="7"/>
  <c r="M22" i="6"/>
  <c r="L22" i="6"/>
  <c r="M21" i="6"/>
  <c r="M19" i="6"/>
  <c r="M18" i="6"/>
  <c r="L18" i="6"/>
  <c r="M17" i="6"/>
  <c r="M15" i="6"/>
  <c r="L14" i="6"/>
  <c r="M13" i="6"/>
  <c r="L10" i="6"/>
  <c r="M9" i="6"/>
  <c r="L6" i="6"/>
  <c r="M5" i="6"/>
  <c r="L2" i="6"/>
  <c r="M22" i="5"/>
  <c r="M18" i="5"/>
  <c r="M14" i="5"/>
  <c r="M10" i="5"/>
  <c r="M6" i="5"/>
  <c r="M2" i="5"/>
  <c r="M22" i="3"/>
  <c r="L22" i="3"/>
  <c r="M21" i="3"/>
  <c r="L21" i="3"/>
  <c r="M20" i="3"/>
  <c r="L20" i="3"/>
  <c r="M19" i="3"/>
  <c r="L16" i="3"/>
  <c r="M15" i="3"/>
  <c r="L12" i="3"/>
  <c r="M11" i="3"/>
  <c r="L8" i="3"/>
  <c r="M7" i="3"/>
  <c r="L4" i="3"/>
  <c r="M3" i="3"/>
  <c r="M21" i="2"/>
  <c r="M20" i="2"/>
  <c r="M16" i="2"/>
  <c r="M12" i="2"/>
  <c r="M8" i="2"/>
  <c r="M4" i="2"/>
  <c r="M22" i="1"/>
  <c r="L22" i="1"/>
  <c r="M21" i="1"/>
  <c r="L21" i="1"/>
  <c r="M19" i="1"/>
  <c r="L19" i="1"/>
  <c r="L18" i="1"/>
  <c r="M17" i="1"/>
  <c r="M15" i="1"/>
  <c r="L15" i="1"/>
  <c r="L14" i="1"/>
  <c r="M13" i="1"/>
  <c r="M9" i="1"/>
  <c r="M5" i="1"/>
  <c r="M2" i="1"/>
  <c r="H3" i="8"/>
  <c r="I3" i="8"/>
  <c r="H4" i="8"/>
  <c r="I4" i="8"/>
  <c r="H5" i="8"/>
  <c r="L3" i="8" s="1"/>
  <c r="I5" i="8"/>
  <c r="H6" i="8"/>
  <c r="I6" i="8"/>
  <c r="H7" i="8"/>
  <c r="I7" i="8"/>
  <c r="H8" i="8"/>
  <c r="I8" i="8"/>
  <c r="H9" i="8"/>
  <c r="I9" i="8"/>
  <c r="M4" i="8" s="1"/>
  <c r="H10" i="8"/>
  <c r="I10" i="8"/>
  <c r="H11" i="8"/>
  <c r="L5" i="8" s="1"/>
  <c r="I11" i="8"/>
  <c r="H12" i="8"/>
  <c r="I12" i="8"/>
  <c r="H13" i="8"/>
  <c r="I13" i="8"/>
  <c r="M5" i="8" s="1"/>
  <c r="H14" i="8"/>
  <c r="L6" i="8" s="1"/>
  <c r="I14" i="8"/>
  <c r="M6" i="8" s="1"/>
  <c r="H15" i="8"/>
  <c r="I15" i="8"/>
  <c r="H16" i="8"/>
  <c r="I16" i="8"/>
  <c r="H17" i="8"/>
  <c r="L7" i="8" s="1"/>
  <c r="I17" i="8"/>
  <c r="H18" i="8"/>
  <c r="I18" i="8"/>
  <c r="H19" i="8"/>
  <c r="I19" i="8"/>
  <c r="H20" i="8"/>
  <c r="I20" i="8"/>
  <c r="H21" i="8"/>
  <c r="I21" i="8"/>
  <c r="M8" i="8" s="1"/>
  <c r="H22" i="8"/>
  <c r="I22" i="8"/>
  <c r="H23" i="8"/>
  <c r="L9" i="8" s="1"/>
  <c r="I23" i="8"/>
  <c r="H24" i="8"/>
  <c r="I24" i="8"/>
  <c r="H25" i="8"/>
  <c r="I25" i="8"/>
  <c r="M9" i="8" s="1"/>
  <c r="H26" i="8"/>
  <c r="L10" i="8" s="1"/>
  <c r="I26" i="8"/>
  <c r="M10" i="8" s="1"/>
  <c r="H27" i="8"/>
  <c r="I27" i="8"/>
  <c r="H28" i="8"/>
  <c r="I28" i="8"/>
  <c r="H29" i="8"/>
  <c r="L11" i="8" s="1"/>
  <c r="I29" i="8"/>
  <c r="H30" i="8"/>
  <c r="I30" i="8"/>
  <c r="H31" i="8"/>
  <c r="I31" i="8"/>
  <c r="H32" i="8"/>
  <c r="I32" i="8"/>
  <c r="H33" i="8"/>
  <c r="I33" i="8"/>
  <c r="M12" i="8" s="1"/>
  <c r="H34" i="8"/>
  <c r="I34" i="8"/>
  <c r="H35" i="8"/>
  <c r="L13" i="8" s="1"/>
  <c r="I35" i="8"/>
  <c r="H36" i="8"/>
  <c r="I36" i="8"/>
  <c r="H37" i="8"/>
  <c r="I37" i="8"/>
  <c r="M13" i="8" s="1"/>
  <c r="H38" i="8"/>
  <c r="L14" i="8" s="1"/>
  <c r="I38" i="8"/>
  <c r="M14" i="8" s="1"/>
  <c r="H39" i="8"/>
  <c r="I39" i="8"/>
  <c r="H40" i="8"/>
  <c r="I40" i="8"/>
  <c r="H41" i="8"/>
  <c r="L15" i="8" s="1"/>
  <c r="I41" i="8"/>
  <c r="H42" i="8"/>
  <c r="I42" i="8"/>
  <c r="H43" i="8"/>
  <c r="I43" i="8"/>
  <c r="H44" i="8"/>
  <c r="I44" i="8"/>
  <c r="H45" i="8"/>
  <c r="L16" i="8" s="1"/>
  <c r="I45" i="8"/>
  <c r="M16" i="8" s="1"/>
  <c r="H46" i="8"/>
  <c r="I46" i="8"/>
  <c r="H47" i="8"/>
  <c r="L17" i="8" s="1"/>
  <c r="I47" i="8"/>
  <c r="H48" i="8"/>
  <c r="I48" i="8"/>
  <c r="H49" i="8"/>
  <c r="I49" i="8"/>
  <c r="H50" i="8"/>
  <c r="L18" i="8" s="1"/>
  <c r="I50" i="8"/>
  <c r="M18" i="8" s="1"/>
  <c r="H51" i="8"/>
  <c r="I51" i="8"/>
  <c r="H52" i="8"/>
  <c r="I52" i="8"/>
  <c r="H53" i="8"/>
  <c r="L19" i="8" s="1"/>
  <c r="I53" i="8"/>
  <c r="M19" i="8" s="1"/>
  <c r="H54" i="8"/>
  <c r="I54" i="8"/>
  <c r="H55" i="8"/>
  <c r="I55" i="8"/>
  <c r="H56" i="8"/>
  <c r="I56" i="8"/>
  <c r="H57" i="8"/>
  <c r="I57" i="8"/>
  <c r="H58" i="8"/>
  <c r="I58" i="8"/>
  <c r="H59" i="8"/>
  <c r="L21" i="8" s="1"/>
  <c r="I59" i="8"/>
  <c r="H60" i="8"/>
  <c r="I60" i="8"/>
  <c r="I2" i="8"/>
  <c r="M2" i="8" s="1"/>
  <c r="H2" i="8"/>
  <c r="L2" i="8" s="1"/>
  <c r="H3" i="7"/>
  <c r="L2" i="7" s="1"/>
  <c r="I3" i="7"/>
  <c r="M2" i="7" s="1"/>
  <c r="H4" i="7"/>
  <c r="I4" i="7"/>
  <c r="H5" i="7"/>
  <c r="I5" i="7"/>
  <c r="M3" i="7" s="1"/>
  <c r="H6" i="7"/>
  <c r="L3" i="7" s="1"/>
  <c r="I6" i="7"/>
  <c r="H7" i="7"/>
  <c r="I7" i="7"/>
  <c r="H8" i="7"/>
  <c r="L4" i="7" s="1"/>
  <c r="I8" i="7"/>
  <c r="H9" i="7"/>
  <c r="I9" i="7"/>
  <c r="H10" i="7"/>
  <c r="I10" i="7"/>
  <c r="H11" i="7"/>
  <c r="I11" i="7"/>
  <c r="M5" i="7" s="1"/>
  <c r="H12" i="7"/>
  <c r="L5" i="7" s="1"/>
  <c r="I12" i="7"/>
  <c r="H13" i="7"/>
  <c r="I13" i="7"/>
  <c r="H14" i="7"/>
  <c r="I14" i="7"/>
  <c r="M6" i="7" s="1"/>
  <c r="H15" i="7"/>
  <c r="L6" i="7" s="1"/>
  <c r="I15" i="7"/>
  <c r="H16" i="7"/>
  <c r="I16" i="7"/>
  <c r="H17" i="7"/>
  <c r="I17" i="7"/>
  <c r="M7" i="7" s="1"/>
  <c r="H18" i="7"/>
  <c r="L7" i="7" s="1"/>
  <c r="I18" i="7"/>
  <c r="H19" i="7"/>
  <c r="I19" i="7"/>
  <c r="H20" i="7"/>
  <c r="L8" i="7" s="1"/>
  <c r="I20" i="7"/>
  <c r="H21" i="7"/>
  <c r="I21" i="7"/>
  <c r="H22" i="7"/>
  <c r="I22" i="7"/>
  <c r="H23" i="7"/>
  <c r="I23" i="7"/>
  <c r="M9" i="7" s="1"/>
  <c r="H24" i="7"/>
  <c r="L9" i="7" s="1"/>
  <c r="I24" i="7"/>
  <c r="H25" i="7"/>
  <c r="I25" i="7"/>
  <c r="H26" i="7"/>
  <c r="I26" i="7"/>
  <c r="M10" i="7" s="1"/>
  <c r="H27" i="7"/>
  <c r="L10" i="7" s="1"/>
  <c r="I27" i="7"/>
  <c r="H28" i="7"/>
  <c r="I28" i="7"/>
  <c r="H29" i="7"/>
  <c r="I29" i="7"/>
  <c r="M11" i="7" s="1"/>
  <c r="H30" i="7"/>
  <c r="L11" i="7" s="1"/>
  <c r="I30" i="7"/>
  <c r="H31" i="7"/>
  <c r="I31" i="7"/>
  <c r="H32" i="7"/>
  <c r="L12" i="7" s="1"/>
  <c r="I32" i="7"/>
  <c r="H33" i="7"/>
  <c r="I33" i="7"/>
  <c r="H34" i="7"/>
  <c r="I34" i="7"/>
  <c r="H35" i="7"/>
  <c r="I35" i="7"/>
  <c r="M13" i="7" s="1"/>
  <c r="H36" i="7"/>
  <c r="L13" i="7" s="1"/>
  <c r="I36" i="7"/>
  <c r="H37" i="7"/>
  <c r="I37" i="7"/>
  <c r="H38" i="7"/>
  <c r="I38" i="7"/>
  <c r="M14" i="7" s="1"/>
  <c r="H39" i="7"/>
  <c r="L14" i="7" s="1"/>
  <c r="I39" i="7"/>
  <c r="H40" i="7"/>
  <c r="I40" i="7"/>
  <c r="H41" i="7"/>
  <c r="I41" i="7"/>
  <c r="M15" i="7" s="1"/>
  <c r="H42" i="7"/>
  <c r="L15" i="7" s="1"/>
  <c r="I42" i="7"/>
  <c r="H43" i="7"/>
  <c r="I43" i="7"/>
  <c r="H44" i="7"/>
  <c r="L16" i="7" s="1"/>
  <c r="I44" i="7"/>
  <c r="H45" i="7"/>
  <c r="I45" i="7"/>
  <c r="H46" i="7"/>
  <c r="I46" i="7"/>
  <c r="H47" i="7"/>
  <c r="I47" i="7"/>
  <c r="M17" i="7" s="1"/>
  <c r="H48" i="7"/>
  <c r="I48" i="7"/>
  <c r="H49" i="7"/>
  <c r="I49" i="7"/>
  <c r="H50" i="7"/>
  <c r="I50" i="7"/>
  <c r="M18" i="7" s="1"/>
  <c r="H51" i="7"/>
  <c r="I51" i="7"/>
  <c r="H52" i="7"/>
  <c r="I52" i="7"/>
  <c r="H53" i="7"/>
  <c r="I53" i="7"/>
  <c r="M19" i="7" s="1"/>
  <c r="H54" i="7"/>
  <c r="I54" i="7"/>
  <c r="H55" i="7"/>
  <c r="I55" i="7"/>
  <c r="H56" i="7"/>
  <c r="L20" i="7" s="1"/>
  <c r="I56" i="7"/>
  <c r="H57" i="7"/>
  <c r="I57" i="7"/>
  <c r="H58" i="7"/>
  <c r="I58" i="7"/>
  <c r="H59" i="7"/>
  <c r="I59" i="7"/>
  <c r="M21" i="7" s="1"/>
  <c r="H60" i="7"/>
  <c r="I60" i="7"/>
  <c r="H61" i="7"/>
  <c r="I61" i="7"/>
  <c r="H62" i="7"/>
  <c r="I62" i="7"/>
  <c r="M22" i="7" s="1"/>
  <c r="H63" i="7"/>
  <c r="I63" i="7"/>
  <c r="H64" i="7"/>
  <c r="I64" i="7"/>
  <c r="I2" i="7"/>
  <c r="H2" i="7"/>
  <c r="H3" i="6"/>
  <c r="I3" i="6"/>
  <c r="H4" i="6"/>
  <c r="I4" i="6"/>
  <c r="H5" i="6"/>
  <c r="L3" i="6" s="1"/>
  <c r="I5" i="6"/>
  <c r="H6" i="6"/>
  <c r="I6" i="6"/>
  <c r="H7" i="6"/>
  <c r="I7" i="6"/>
  <c r="M3" i="6" s="1"/>
  <c r="H8" i="6"/>
  <c r="L4" i="6" s="1"/>
  <c r="I8" i="6"/>
  <c r="M4" i="6" s="1"/>
  <c r="H9" i="6"/>
  <c r="I9" i="6"/>
  <c r="H10" i="6"/>
  <c r="I10" i="6"/>
  <c r="H11" i="6"/>
  <c r="L5" i="6" s="1"/>
  <c r="I11" i="6"/>
  <c r="H12" i="6"/>
  <c r="I12" i="6"/>
  <c r="H13" i="6"/>
  <c r="I13" i="6"/>
  <c r="H14" i="6"/>
  <c r="I14" i="6"/>
  <c r="H15" i="6"/>
  <c r="I15" i="6"/>
  <c r="M6" i="6" s="1"/>
  <c r="H16" i="6"/>
  <c r="I16" i="6"/>
  <c r="H17" i="6"/>
  <c r="L7" i="6" s="1"/>
  <c r="I17" i="6"/>
  <c r="H18" i="6"/>
  <c r="I18" i="6"/>
  <c r="H19" i="6"/>
  <c r="I19" i="6"/>
  <c r="M7" i="6" s="1"/>
  <c r="H20" i="6"/>
  <c r="L8" i="6" s="1"/>
  <c r="I20" i="6"/>
  <c r="M8" i="6" s="1"/>
  <c r="H21" i="6"/>
  <c r="I21" i="6"/>
  <c r="H22" i="6"/>
  <c r="I22" i="6"/>
  <c r="H23" i="6"/>
  <c r="L9" i="6" s="1"/>
  <c r="I23" i="6"/>
  <c r="H24" i="6"/>
  <c r="I24" i="6"/>
  <c r="H25" i="6"/>
  <c r="I25" i="6"/>
  <c r="H26" i="6"/>
  <c r="I26" i="6"/>
  <c r="H27" i="6"/>
  <c r="I27" i="6"/>
  <c r="M10" i="6" s="1"/>
  <c r="H28" i="6"/>
  <c r="I28" i="6"/>
  <c r="H29" i="6"/>
  <c r="L11" i="6" s="1"/>
  <c r="I29" i="6"/>
  <c r="H30" i="6"/>
  <c r="I30" i="6"/>
  <c r="H31" i="6"/>
  <c r="I31" i="6"/>
  <c r="M11" i="6" s="1"/>
  <c r="H32" i="6"/>
  <c r="L12" i="6" s="1"/>
  <c r="I32" i="6"/>
  <c r="M12" i="6" s="1"/>
  <c r="H33" i="6"/>
  <c r="I33" i="6"/>
  <c r="H34" i="6"/>
  <c r="I34" i="6"/>
  <c r="H35" i="6"/>
  <c r="L13" i="6" s="1"/>
  <c r="I35" i="6"/>
  <c r="H36" i="6"/>
  <c r="I36" i="6"/>
  <c r="H37" i="6"/>
  <c r="I37" i="6"/>
  <c r="H38" i="6"/>
  <c r="I38" i="6"/>
  <c r="H39" i="6"/>
  <c r="I39" i="6"/>
  <c r="M14" i="6" s="1"/>
  <c r="H40" i="6"/>
  <c r="I40" i="6"/>
  <c r="H41" i="6"/>
  <c r="L15" i="6" s="1"/>
  <c r="I41" i="6"/>
  <c r="H42" i="6"/>
  <c r="I42" i="6"/>
  <c r="H43" i="6"/>
  <c r="I43" i="6"/>
  <c r="H44" i="6"/>
  <c r="L16" i="6" s="1"/>
  <c r="I44" i="6"/>
  <c r="M16" i="6" s="1"/>
  <c r="H45" i="6"/>
  <c r="I45" i="6"/>
  <c r="H46" i="6"/>
  <c r="I46" i="6"/>
  <c r="H47" i="6"/>
  <c r="L17" i="6" s="1"/>
  <c r="I47" i="6"/>
  <c r="H48" i="6"/>
  <c r="I48" i="6"/>
  <c r="H49" i="6"/>
  <c r="I49" i="6"/>
  <c r="H50" i="6"/>
  <c r="I50" i="6"/>
  <c r="H51" i="6"/>
  <c r="I51" i="6"/>
  <c r="H52" i="6"/>
  <c r="I52" i="6"/>
  <c r="H53" i="6"/>
  <c r="L19" i="6" s="1"/>
  <c r="I53" i="6"/>
  <c r="H54" i="6"/>
  <c r="I54" i="6"/>
  <c r="H55" i="6"/>
  <c r="I55" i="6"/>
  <c r="H56" i="6"/>
  <c r="L20" i="6" s="1"/>
  <c r="I56" i="6"/>
  <c r="M20" i="6" s="1"/>
  <c r="H57" i="6"/>
  <c r="I57" i="6"/>
  <c r="H58" i="6"/>
  <c r="I58" i="6"/>
  <c r="H59" i="6"/>
  <c r="L21" i="6" s="1"/>
  <c r="I59" i="6"/>
  <c r="H60" i="6"/>
  <c r="I60" i="6"/>
  <c r="H61" i="6"/>
  <c r="I61" i="6"/>
  <c r="H62" i="6"/>
  <c r="I62" i="6"/>
  <c r="H63" i="6"/>
  <c r="I63" i="6"/>
  <c r="H64" i="6"/>
  <c r="I64" i="6"/>
  <c r="I2" i="6"/>
  <c r="M2" i="6" s="1"/>
  <c r="H2" i="6"/>
  <c r="H3" i="5"/>
  <c r="I3" i="5"/>
  <c r="H4" i="5"/>
  <c r="I4" i="5"/>
  <c r="H5" i="5"/>
  <c r="I5" i="5"/>
  <c r="M3" i="5" s="1"/>
  <c r="H6" i="5"/>
  <c r="L3" i="5" s="1"/>
  <c r="I6" i="5"/>
  <c r="H7" i="5"/>
  <c r="I7" i="5"/>
  <c r="H8" i="5"/>
  <c r="I8" i="5"/>
  <c r="M4" i="5" s="1"/>
  <c r="H9" i="5"/>
  <c r="L4" i="5" s="1"/>
  <c r="I9" i="5"/>
  <c r="H10" i="5"/>
  <c r="I10" i="5"/>
  <c r="H11" i="5"/>
  <c r="I11" i="5"/>
  <c r="M5" i="5" s="1"/>
  <c r="H12" i="5"/>
  <c r="L5" i="5" s="1"/>
  <c r="I12" i="5"/>
  <c r="H13" i="5"/>
  <c r="I13" i="5"/>
  <c r="H14" i="5"/>
  <c r="L6" i="5" s="1"/>
  <c r="I14" i="5"/>
  <c r="H15" i="5"/>
  <c r="I15" i="5"/>
  <c r="H16" i="5"/>
  <c r="I16" i="5"/>
  <c r="H17" i="5"/>
  <c r="I17" i="5"/>
  <c r="M7" i="5" s="1"/>
  <c r="H18" i="5"/>
  <c r="L7" i="5" s="1"/>
  <c r="I18" i="5"/>
  <c r="H19" i="5"/>
  <c r="I19" i="5"/>
  <c r="H20" i="5"/>
  <c r="I20" i="5"/>
  <c r="M8" i="5" s="1"/>
  <c r="H21" i="5"/>
  <c r="L8" i="5" s="1"/>
  <c r="I21" i="5"/>
  <c r="H22" i="5"/>
  <c r="I22" i="5"/>
  <c r="H23" i="5"/>
  <c r="I23" i="5"/>
  <c r="M9" i="5" s="1"/>
  <c r="H24" i="5"/>
  <c r="L9" i="5" s="1"/>
  <c r="I24" i="5"/>
  <c r="H25" i="5"/>
  <c r="I25" i="5"/>
  <c r="H26" i="5"/>
  <c r="L10" i="5" s="1"/>
  <c r="I26" i="5"/>
  <c r="H27" i="5"/>
  <c r="I27" i="5"/>
  <c r="H28" i="5"/>
  <c r="I28" i="5"/>
  <c r="H29" i="5"/>
  <c r="I29" i="5"/>
  <c r="M11" i="5" s="1"/>
  <c r="H30" i="5"/>
  <c r="L11" i="5" s="1"/>
  <c r="I30" i="5"/>
  <c r="H31" i="5"/>
  <c r="I31" i="5"/>
  <c r="H32" i="5"/>
  <c r="I32" i="5"/>
  <c r="M12" i="5" s="1"/>
  <c r="H33" i="5"/>
  <c r="L12" i="5" s="1"/>
  <c r="I33" i="5"/>
  <c r="H34" i="5"/>
  <c r="I34" i="5"/>
  <c r="H35" i="5"/>
  <c r="I35" i="5"/>
  <c r="M13" i="5" s="1"/>
  <c r="H36" i="5"/>
  <c r="L13" i="5" s="1"/>
  <c r="I36" i="5"/>
  <c r="H37" i="5"/>
  <c r="I37" i="5"/>
  <c r="H38" i="5"/>
  <c r="L14" i="5" s="1"/>
  <c r="I38" i="5"/>
  <c r="H39" i="5"/>
  <c r="I39" i="5"/>
  <c r="H40" i="5"/>
  <c r="I40" i="5"/>
  <c r="H41" i="5"/>
  <c r="I41" i="5"/>
  <c r="M15" i="5" s="1"/>
  <c r="H42" i="5"/>
  <c r="L15" i="5" s="1"/>
  <c r="I42" i="5"/>
  <c r="H43" i="5"/>
  <c r="I43" i="5"/>
  <c r="H44" i="5"/>
  <c r="I44" i="5"/>
  <c r="M16" i="5" s="1"/>
  <c r="H45" i="5"/>
  <c r="L16" i="5" s="1"/>
  <c r="I45" i="5"/>
  <c r="H46" i="5"/>
  <c r="I46" i="5"/>
  <c r="H47" i="5"/>
  <c r="I47" i="5"/>
  <c r="M17" i="5" s="1"/>
  <c r="H48" i="5"/>
  <c r="L17" i="5" s="1"/>
  <c r="I48" i="5"/>
  <c r="H49" i="5"/>
  <c r="I49" i="5"/>
  <c r="H50" i="5"/>
  <c r="L18" i="5" s="1"/>
  <c r="I50" i="5"/>
  <c r="H51" i="5"/>
  <c r="I51" i="5"/>
  <c r="H52" i="5"/>
  <c r="I52" i="5"/>
  <c r="H53" i="5"/>
  <c r="I53" i="5"/>
  <c r="M19" i="5" s="1"/>
  <c r="H54" i="5"/>
  <c r="L19" i="5" s="1"/>
  <c r="I54" i="5"/>
  <c r="H55" i="5"/>
  <c r="I55" i="5"/>
  <c r="H56" i="5"/>
  <c r="I56" i="5"/>
  <c r="M20" i="5" s="1"/>
  <c r="H57" i="5"/>
  <c r="L20" i="5" s="1"/>
  <c r="I57" i="5"/>
  <c r="H58" i="5"/>
  <c r="I58" i="5"/>
  <c r="H59" i="5"/>
  <c r="I59" i="5"/>
  <c r="M21" i="5" s="1"/>
  <c r="H60" i="5"/>
  <c r="L21" i="5" s="1"/>
  <c r="I60" i="5"/>
  <c r="H61" i="5"/>
  <c r="I61" i="5"/>
  <c r="H62" i="5"/>
  <c r="L22" i="5" s="1"/>
  <c r="I62" i="5"/>
  <c r="H63" i="5"/>
  <c r="I63" i="5"/>
  <c r="H64" i="5"/>
  <c r="I64" i="5"/>
  <c r="I2" i="5"/>
  <c r="H2" i="5"/>
  <c r="L2" i="5" s="1"/>
  <c r="H3" i="3"/>
  <c r="I3" i="3"/>
  <c r="H4" i="3"/>
  <c r="I4" i="3"/>
  <c r="H5" i="3"/>
  <c r="L3" i="3" s="1"/>
  <c r="I5" i="3"/>
  <c r="H6" i="3"/>
  <c r="I6" i="3"/>
  <c r="H7" i="3"/>
  <c r="I7" i="3"/>
  <c r="H8" i="3"/>
  <c r="I8" i="3"/>
  <c r="H9" i="3"/>
  <c r="I9" i="3"/>
  <c r="M4" i="3" s="1"/>
  <c r="H10" i="3"/>
  <c r="I10" i="3"/>
  <c r="H11" i="3"/>
  <c r="L5" i="3" s="1"/>
  <c r="I11" i="3"/>
  <c r="H12" i="3"/>
  <c r="I12" i="3"/>
  <c r="H13" i="3"/>
  <c r="I13" i="3"/>
  <c r="M5" i="3" s="1"/>
  <c r="H14" i="3"/>
  <c r="L6" i="3" s="1"/>
  <c r="I14" i="3"/>
  <c r="M6" i="3" s="1"/>
  <c r="H15" i="3"/>
  <c r="I15" i="3"/>
  <c r="H16" i="3"/>
  <c r="I16" i="3"/>
  <c r="H17" i="3"/>
  <c r="L7" i="3" s="1"/>
  <c r="I17" i="3"/>
  <c r="H18" i="3"/>
  <c r="I18" i="3"/>
  <c r="H19" i="3"/>
  <c r="I19" i="3"/>
  <c r="H20" i="3"/>
  <c r="I20" i="3"/>
  <c r="H21" i="3"/>
  <c r="I21" i="3"/>
  <c r="M8" i="3" s="1"/>
  <c r="H22" i="3"/>
  <c r="I22" i="3"/>
  <c r="H23" i="3"/>
  <c r="L9" i="3" s="1"/>
  <c r="I23" i="3"/>
  <c r="H24" i="3"/>
  <c r="I24" i="3"/>
  <c r="H25" i="3"/>
  <c r="I25" i="3"/>
  <c r="M9" i="3" s="1"/>
  <c r="H26" i="3"/>
  <c r="L10" i="3" s="1"/>
  <c r="I26" i="3"/>
  <c r="M10" i="3" s="1"/>
  <c r="H27" i="3"/>
  <c r="I27" i="3"/>
  <c r="H28" i="3"/>
  <c r="I28" i="3"/>
  <c r="H29" i="3"/>
  <c r="L11" i="3" s="1"/>
  <c r="I29" i="3"/>
  <c r="H30" i="3"/>
  <c r="I30" i="3"/>
  <c r="H31" i="3"/>
  <c r="I31" i="3"/>
  <c r="H32" i="3"/>
  <c r="I32" i="3"/>
  <c r="H33" i="3"/>
  <c r="I33" i="3"/>
  <c r="M12" i="3" s="1"/>
  <c r="H34" i="3"/>
  <c r="I34" i="3"/>
  <c r="H35" i="3"/>
  <c r="L13" i="3" s="1"/>
  <c r="I35" i="3"/>
  <c r="H36" i="3"/>
  <c r="I36" i="3"/>
  <c r="H37" i="3"/>
  <c r="I37" i="3"/>
  <c r="M13" i="3" s="1"/>
  <c r="H38" i="3"/>
  <c r="L14" i="3" s="1"/>
  <c r="I38" i="3"/>
  <c r="M14" i="3" s="1"/>
  <c r="H39" i="3"/>
  <c r="I39" i="3"/>
  <c r="H40" i="3"/>
  <c r="I40" i="3"/>
  <c r="H41" i="3"/>
  <c r="L15" i="3" s="1"/>
  <c r="I41" i="3"/>
  <c r="H42" i="3"/>
  <c r="I42" i="3"/>
  <c r="H43" i="3"/>
  <c r="I43" i="3"/>
  <c r="H44" i="3"/>
  <c r="I44" i="3"/>
  <c r="H46" i="3"/>
  <c r="I46" i="3"/>
  <c r="M16" i="3" s="1"/>
  <c r="H47" i="3"/>
  <c r="L17" i="3" s="1"/>
  <c r="I47" i="3"/>
  <c r="M17" i="3" s="1"/>
  <c r="H48" i="3"/>
  <c r="I48" i="3"/>
  <c r="H49" i="3"/>
  <c r="I49" i="3"/>
  <c r="H50" i="3"/>
  <c r="L18" i="3" s="1"/>
  <c r="I50" i="3"/>
  <c r="M18" i="3" s="1"/>
  <c r="H51" i="3"/>
  <c r="I51" i="3"/>
  <c r="H52" i="3"/>
  <c r="I52" i="3"/>
  <c r="H53" i="3"/>
  <c r="L19" i="3" s="1"/>
  <c r="I53" i="3"/>
  <c r="H54" i="3"/>
  <c r="I54" i="3"/>
  <c r="H55" i="3"/>
  <c r="I55" i="3"/>
  <c r="H3" i="2"/>
  <c r="L2" i="2" s="1"/>
  <c r="I3" i="2"/>
  <c r="H4" i="2"/>
  <c r="I4" i="2"/>
  <c r="H5" i="2"/>
  <c r="L3" i="2" s="1"/>
  <c r="I5" i="2"/>
  <c r="M3" i="2" s="1"/>
  <c r="H6" i="2"/>
  <c r="I6" i="2"/>
  <c r="H7" i="2"/>
  <c r="I7" i="2"/>
  <c r="H8" i="2"/>
  <c r="L4" i="2" s="1"/>
  <c r="I8" i="2"/>
  <c r="H9" i="2"/>
  <c r="I9" i="2"/>
  <c r="H10" i="2"/>
  <c r="I10" i="2"/>
  <c r="H11" i="2"/>
  <c r="L5" i="2" s="1"/>
  <c r="I11" i="2"/>
  <c r="H12" i="2"/>
  <c r="I12" i="2"/>
  <c r="H13" i="2"/>
  <c r="I13" i="2"/>
  <c r="M5" i="2" s="1"/>
  <c r="H14" i="2"/>
  <c r="L6" i="2" s="1"/>
  <c r="I14" i="2"/>
  <c r="M6" i="2" s="1"/>
  <c r="H15" i="2"/>
  <c r="I15" i="2"/>
  <c r="H16" i="2"/>
  <c r="I16" i="2"/>
  <c r="H17" i="2"/>
  <c r="L7" i="2" s="1"/>
  <c r="I17" i="2"/>
  <c r="M7" i="2" s="1"/>
  <c r="H18" i="2"/>
  <c r="I18" i="2"/>
  <c r="H19" i="2"/>
  <c r="I19" i="2"/>
  <c r="H20" i="2"/>
  <c r="L8" i="2" s="1"/>
  <c r="I20" i="2"/>
  <c r="H21" i="2"/>
  <c r="I21" i="2"/>
  <c r="H22" i="2"/>
  <c r="I22" i="2"/>
  <c r="H23" i="2"/>
  <c r="L9" i="2" s="1"/>
  <c r="I23" i="2"/>
  <c r="H24" i="2"/>
  <c r="I24" i="2"/>
  <c r="H25" i="2"/>
  <c r="I25" i="2"/>
  <c r="M9" i="2" s="1"/>
  <c r="H26" i="2"/>
  <c r="L10" i="2" s="1"/>
  <c r="I26" i="2"/>
  <c r="M10" i="2" s="1"/>
  <c r="H27" i="2"/>
  <c r="I27" i="2"/>
  <c r="H28" i="2"/>
  <c r="I28" i="2"/>
  <c r="H29" i="2"/>
  <c r="L11" i="2" s="1"/>
  <c r="I29" i="2"/>
  <c r="M11" i="2" s="1"/>
  <c r="H30" i="2"/>
  <c r="I30" i="2"/>
  <c r="H31" i="2"/>
  <c r="I31" i="2"/>
  <c r="H32" i="2"/>
  <c r="L12" i="2" s="1"/>
  <c r="I32" i="2"/>
  <c r="H33" i="2"/>
  <c r="I33" i="2"/>
  <c r="H34" i="2"/>
  <c r="I34" i="2"/>
  <c r="H35" i="2"/>
  <c r="L13" i="2" s="1"/>
  <c r="I35" i="2"/>
  <c r="H36" i="2"/>
  <c r="I36" i="2"/>
  <c r="H37" i="2"/>
  <c r="I37" i="2"/>
  <c r="M13" i="2" s="1"/>
  <c r="H38" i="2"/>
  <c r="L14" i="2" s="1"/>
  <c r="I38" i="2"/>
  <c r="M14" i="2" s="1"/>
  <c r="H39" i="2"/>
  <c r="I39" i="2"/>
  <c r="H40" i="2"/>
  <c r="I40" i="2"/>
  <c r="H41" i="2"/>
  <c r="L15" i="2" s="1"/>
  <c r="I41" i="2"/>
  <c r="M15" i="2" s="1"/>
  <c r="H42" i="2"/>
  <c r="I42" i="2"/>
  <c r="H43" i="2"/>
  <c r="I43" i="2"/>
  <c r="H44" i="2"/>
  <c r="L16" i="2" s="1"/>
  <c r="I44" i="2"/>
  <c r="H45" i="2"/>
  <c r="I45" i="2"/>
  <c r="H46" i="2"/>
  <c r="I46" i="2"/>
  <c r="H47" i="2"/>
  <c r="L17" i="2" s="1"/>
  <c r="I47" i="2"/>
  <c r="H48" i="2"/>
  <c r="I48" i="2"/>
  <c r="H49" i="2"/>
  <c r="I49" i="2"/>
  <c r="M17" i="2" s="1"/>
  <c r="H50" i="2"/>
  <c r="L18" i="2" s="1"/>
  <c r="I50" i="2"/>
  <c r="M18" i="2" s="1"/>
  <c r="H51" i="2"/>
  <c r="I51" i="2"/>
  <c r="H52" i="2"/>
  <c r="I52" i="2"/>
  <c r="H53" i="2"/>
  <c r="L19" i="2" s="1"/>
  <c r="I53" i="2"/>
  <c r="M19" i="2" s="1"/>
  <c r="H54" i="2"/>
  <c r="I54" i="2"/>
  <c r="H55" i="2"/>
  <c r="I55" i="2"/>
  <c r="H56" i="2"/>
  <c r="L20" i="2" s="1"/>
  <c r="I56" i="2"/>
  <c r="H57" i="2"/>
  <c r="I57" i="2"/>
  <c r="H58" i="2"/>
  <c r="I58" i="2"/>
  <c r="H59" i="2"/>
  <c r="L21" i="2" s="1"/>
  <c r="I59" i="2"/>
  <c r="H60" i="2"/>
  <c r="I60" i="2"/>
  <c r="H61" i="2"/>
  <c r="I61" i="2"/>
  <c r="H62" i="2"/>
  <c r="L22" i="2" s="1"/>
  <c r="I62" i="2"/>
  <c r="M22" i="2" s="1"/>
  <c r="H3" i="1"/>
  <c r="L2" i="1" s="1"/>
  <c r="I3" i="1"/>
  <c r="H4" i="1"/>
  <c r="I4" i="1"/>
  <c r="H5" i="1"/>
  <c r="I5" i="1"/>
  <c r="M3" i="1" s="1"/>
  <c r="H6" i="1"/>
  <c r="L3" i="1" s="1"/>
  <c r="I6" i="1"/>
  <c r="H7" i="1"/>
  <c r="I7" i="1"/>
  <c r="H8" i="1"/>
  <c r="I8" i="1"/>
  <c r="M4" i="1" s="1"/>
  <c r="H9" i="1"/>
  <c r="L4" i="1" s="1"/>
  <c r="I9" i="1"/>
  <c r="H10" i="1"/>
  <c r="I10" i="1"/>
  <c r="H11" i="1"/>
  <c r="L5" i="1" s="1"/>
  <c r="I11" i="1"/>
  <c r="H12" i="1"/>
  <c r="I12" i="1"/>
  <c r="H13" i="1"/>
  <c r="I13" i="1"/>
  <c r="H14" i="1"/>
  <c r="I14" i="1"/>
  <c r="M6" i="1" s="1"/>
  <c r="H15" i="1"/>
  <c r="L6" i="1" s="1"/>
  <c r="I15" i="1"/>
  <c r="H16" i="1"/>
  <c r="I16" i="1"/>
  <c r="H17" i="1"/>
  <c r="I17" i="1"/>
  <c r="M7" i="1" s="1"/>
  <c r="H18" i="1"/>
  <c r="L7" i="1" s="1"/>
  <c r="I18" i="1"/>
  <c r="H19" i="1"/>
  <c r="I19" i="1"/>
  <c r="H20" i="1"/>
  <c r="I20" i="1"/>
  <c r="M8" i="1" s="1"/>
  <c r="H21" i="1"/>
  <c r="L8" i="1" s="1"/>
  <c r="I21" i="1"/>
  <c r="H22" i="1"/>
  <c r="I22" i="1"/>
  <c r="H23" i="1"/>
  <c r="L9" i="1" s="1"/>
  <c r="I23" i="1"/>
  <c r="H24" i="1"/>
  <c r="I24" i="1"/>
  <c r="H25" i="1"/>
  <c r="I25" i="1"/>
  <c r="H27" i="1"/>
  <c r="I27" i="1"/>
  <c r="M10" i="1" s="1"/>
  <c r="H28" i="1"/>
  <c r="L10" i="1" s="1"/>
  <c r="I28" i="1"/>
  <c r="H29" i="1"/>
  <c r="I29" i="1"/>
  <c r="H30" i="1"/>
  <c r="I30" i="1"/>
  <c r="M11" i="1" s="1"/>
  <c r="H31" i="1"/>
  <c r="L11" i="1" s="1"/>
  <c r="I31" i="1"/>
  <c r="H32" i="1"/>
  <c r="L12" i="1" s="1"/>
  <c r="I32" i="1"/>
  <c r="M12" i="1" s="1"/>
  <c r="H33" i="1"/>
  <c r="I33" i="1"/>
  <c r="H34" i="1"/>
  <c r="I34" i="1"/>
  <c r="H35" i="1"/>
  <c r="L13" i="1" s="1"/>
  <c r="I35" i="1"/>
  <c r="H36" i="1"/>
  <c r="I36" i="1"/>
  <c r="H37" i="1"/>
  <c r="I37" i="1"/>
  <c r="H38" i="1"/>
  <c r="I38" i="1"/>
  <c r="M14" i="1" s="1"/>
  <c r="H39" i="1"/>
  <c r="I39" i="1"/>
  <c r="H40" i="1"/>
  <c r="I40" i="1"/>
  <c r="H41" i="1"/>
  <c r="I41" i="1"/>
  <c r="H42" i="1"/>
  <c r="I42" i="1"/>
  <c r="H43" i="1"/>
  <c r="I43" i="1"/>
  <c r="H44" i="1"/>
  <c r="L16" i="1" s="1"/>
  <c r="I44" i="1"/>
  <c r="M16" i="1" s="1"/>
  <c r="H45" i="1"/>
  <c r="I45" i="1"/>
  <c r="H46" i="1"/>
  <c r="I46" i="1"/>
  <c r="H47" i="1"/>
  <c r="L17" i="1" s="1"/>
  <c r="I47" i="1"/>
  <c r="H48" i="1"/>
  <c r="I48" i="1"/>
  <c r="H49" i="1"/>
  <c r="I49" i="1"/>
  <c r="H50" i="1"/>
  <c r="I50" i="1"/>
  <c r="M18" i="1" s="1"/>
  <c r="H51" i="1"/>
  <c r="I51" i="1"/>
  <c r="H52" i="1"/>
  <c r="I52" i="1"/>
  <c r="H53" i="1"/>
  <c r="I53" i="1"/>
  <c r="H54" i="1"/>
  <c r="I54" i="1"/>
  <c r="H55" i="1"/>
  <c r="I55" i="1"/>
  <c r="H56" i="1"/>
  <c r="L20" i="1" s="1"/>
  <c r="I56" i="1"/>
  <c r="M20" i="1" s="1"/>
  <c r="H57" i="1"/>
  <c r="I57" i="1"/>
  <c r="H58" i="1"/>
  <c r="I58" i="1"/>
  <c r="I2" i="3"/>
  <c r="M2" i="3" s="1"/>
  <c r="H2" i="3"/>
  <c r="L2" i="3" s="1"/>
  <c r="I2" i="2"/>
  <c r="M2" i="2" s="1"/>
  <c r="H2" i="2"/>
  <c r="I2" i="1"/>
  <c r="H2" i="1"/>
  <c r="H3" i="4" l="1"/>
  <c r="I3" i="4"/>
  <c r="H4" i="4"/>
  <c r="I4" i="4"/>
  <c r="H5" i="4"/>
  <c r="L3" i="4" s="1"/>
  <c r="I5" i="4"/>
  <c r="M3" i="4" s="1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L6" i="4" s="1"/>
  <c r="I14" i="4"/>
  <c r="M6" i="4" s="1"/>
  <c r="H15" i="4"/>
  <c r="I15" i="4"/>
  <c r="H16" i="4"/>
  <c r="I16" i="4"/>
  <c r="H17" i="4"/>
  <c r="L7" i="4" s="1"/>
  <c r="I17" i="4"/>
  <c r="M7" i="4" s="1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L10" i="4" s="1"/>
  <c r="I26" i="4"/>
  <c r="M10" i="4" s="1"/>
  <c r="H27" i="4"/>
  <c r="I27" i="4"/>
  <c r="H28" i="4"/>
  <c r="I28" i="4"/>
  <c r="H29" i="4"/>
  <c r="L11" i="4" s="1"/>
  <c r="I29" i="4"/>
  <c r="M11" i="4" s="1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L14" i="4" s="1"/>
  <c r="I38" i="4"/>
  <c r="M14" i="4" s="1"/>
  <c r="H39" i="4"/>
  <c r="I39" i="4"/>
  <c r="H40" i="4"/>
  <c r="I40" i="4"/>
  <c r="H41" i="4"/>
  <c r="L15" i="4" s="1"/>
  <c r="I41" i="4"/>
  <c r="M15" i="4" s="1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L18" i="4" s="1"/>
  <c r="I50" i="4"/>
  <c r="M18" i="4" s="1"/>
  <c r="H51" i="4"/>
  <c r="I51" i="4"/>
  <c r="H52" i="4"/>
  <c r="I52" i="4"/>
  <c r="H53" i="4"/>
  <c r="L19" i="4" s="1"/>
  <c r="I53" i="4"/>
  <c r="M19" i="4" s="1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L22" i="4" s="1"/>
  <c r="I62" i="4"/>
  <c r="M22" i="4" s="1"/>
  <c r="H63" i="4"/>
  <c r="I63" i="4"/>
  <c r="H64" i="4"/>
  <c r="I64" i="4"/>
  <c r="I2" i="4"/>
  <c r="M2" i="4" s="1"/>
  <c r="H2" i="4"/>
  <c r="L2" i="4" s="1"/>
  <c r="M4" i="4" l="1"/>
  <c r="L20" i="4"/>
  <c r="L16" i="4"/>
  <c r="L12" i="4"/>
  <c r="L8" i="4"/>
  <c r="L4" i="4"/>
  <c r="M21" i="4"/>
  <c r="M17" i="4"/>
  <c r="M13" i="4"/>
  <c r="M9" i="4"/>
  <c r="M5" i="4"/>
  <c r="M20" i="4"/>
  <c r="M16" i="4"/>
  <c r="M12" i="4"/>
  <c r="M8" i="4"/>
  <c r="L21" i="4"/>
  <c r="L17" i="4"/>
  <c r="L13" i="4"/>
  <c r="L9" i="4"/>
  <c r="L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5033A8-B6B4-F143-9E49-B5F5B1A40EE5}" name="spectra_ensemble_bace" type="6" refreshedVersion="8" background="1" saveData="1">
    <textPr sourceFile="/Users/ivymac/Desktop/SAGE_Lab/data_splitting_strategies/ensemble_sheet/sheet/spectra_ensemble_bace.csv" comma="1">
      <textFields count="7">
        <textField/>
        <textField/>
        <textField/>
        <textField/>
        <textField/>
        <textField/>
        <textField/>
      </textFields>
    </textPr>
  </connection>
  <connection id="2" xr16:uid="{18F367C6-3E4F-F74F-9527-057A6A761310}" name="spectra_ensemble_bbbp" type="6" refreshedVersion="8" background="1" saveData="1">
    <textPr sourceFile="/Users/ivymac/Desktop/SAGE_Lab/data_splitting_strategies/ensemble_sheet/sheet/spectra_ensemble_bbbp.csv" comma="1">
      <textFields count="7">
        <textField/>
        <textField/>
        <textField/>
        <textField/>
        <textField/>
        <textField/>
        <textField/>
      </textFields>
    </textPr>
  </connection>
  <connection id="3" xr16:uid="{8B6E8DF8-37A9-B24F-B22A-A029AF2FA1BC}" name="spectra_ensemble_clintox" type="6" refreshedVersion="8" background="1" saveData="1">
    <textPr sourceFile="/Users/ivymac/Desktop/SAGE_Lab/data_splitting_strategies/ensemble_sheet/sheet/spectra_ensemble_clintox.csv" comma="1">
      <textFields count="7">
        <textField/>
        <textField/>
        <textField/>
        <textField/>
        <textField/>
        <textField/>
        <textField/>
      </textFields>
    </textPr>
  </connection>
  <connection id="4" xr16:uid="{40DBF220-B899-4D40-92F8-EF87BB301F4A}" name="spectra_ensemble_delaney" type="6" refreshedVersion="8" background="1" saveData="1">
    <textPr sourceFile="/Users/ivymac/Desktop/SAGE_Lab/data_splitting_strategies/ensemble_sheet/sheet/spectra_ensemble_delaney.csv" comma="1">
      <textFields count="7">
        <textField/>
        <textField/>
        <textField/>
        <textField/>
        <textField/>
        <textField/>
        <textField/>
      </textFields>
    </textPr>
  </connection>
  <connection id="5" xr16:uid="{4EFB0576-BD50-2946-B4EE-A8FA23608206}" name="spectra_ensemble_freesolv1" type="6" refreshedVersion="8" background="1" saveData="1">
    <textPr sourceFile="/Users/ivymac/Desktop/SAGE_Lab/data_splitting_strategies/ensemble_sheet/sheet/spectra_ensemble_freesolv.csv" comma="1">
      <textFields count="7">
        <textField/>
        <textField/>
        <textField/>
        <textField/>
        <textField/>
        <textField/>
        <textField/>
      </textFields>
    </textPr>
  </connection>
  <connection id="6" xr16:uid="{37751D16-D763-2A4F-BEDA-23AB0D400732}" name="spectra_ensemble_lipo" type="6" refreshedVersion="8" background="1" saveData="1">
    <textPr sourceFile="/Users/ivymac/Desktop/SAGE_Lab/data_splitting_strategies/ensemble_sheet/sheet/spectra_ensemble_lipo.csv" comma="1">
      <textFields count="7">
        <textField/>
        <textField/>
        <textField/>
        <textField/>
        <textField/>
        <textField/>
        <textField/>
      </textFields>
    </textPr>
  </connection>
  <connection id="7" xr16:uid="{5EEBEC67-EB95-E142-8E80-001D63376795}" name="spectra_ensemble_sider" type="6" refreshedVersion="8" background="1" saveData="1">
    <textPr sourceFile="/Users/ivymac/Desktop/SAGE_Lab/data_splitting_strategies/ensemble_sheet/sheet/spectra_ensemble_sider.csv" comma="1">
      <textFields count="7">
        <textField/>
        <textField/>
        <textField/>
        <textField/>
        <textField/>
        <textField/>
        <textField/>
      </textFields>
    </textPr>
  </connection>
  <connection id="8" xr16:uid="{998532B9-05AD-2641-9E82-A5030D6E430D}" name="spectra_ensemble_tox21" type="6" refreshedVersion="8" background="1" saveData="1">
    <textPr sourceFile="/Users/ivymac/Desktop/SAGE_Lab/data_splitting_strategies/ensemble_sheet/sheet/spectra_ensemble_tox21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<sst xmlns="http://schemas.openxmlformats.org/spreadsheetml/2006/main" count="1062" uniqueCount="325">
  <si>
    <t>AUC</t>
  </si>
  <si>
    <t>Size</t>
  </si>
  <si>
    <t>Ensemble 1</t>
  </si>
  <si>
    <t>Ensemble 2</t>
  </si>
  <si>
    <t>Ensemble 3</t>
  </si>
  <si>
    <t>Ensemble 4</t>
  </si>
  <si>
    <t>Ensemble 5</t>
  </si>
  <si>
    <t>0.00_0</t>
  </si>
  <si>
    <t>[1059, 151, 303]</t>
  </si>
  <si>
    <t>0.00_1</t>
  </si>
  <si>
    <t>0.00_2</t>
  </si>
  <si>
    <t>0.05_0</t>
  </si>
  <si>
    <t>[525, 75, 151]</t>
  </si>
  <si>
    <t>0.05_1</t>
  </si>
  <si>
    <t>[536, 76, 153]</t>
  </si>
  <si>
    <t>0.05_2</t>
  </si>
  <si>
    <t>[532, 76, 153]</t>
  </si>
  <si>
    <t>0.10_0</t>
  </si>
  <si>
    <t>[301, 43, 86]</t>
  </si>
  <si>
    <t>0.10_1</t>
  </si>
  <si>
    <t>[297, 42, 85]</t>
  </si>
  <si>
    <t>0.10_2</t>
  </si>
  <si>
    <t>[307, 43, 88]</t>
  </si>
  <si>
    <t>0.15_0</t>
  </si>
  <si>
    <t>[197, 28, 57]</t>
  </si>
  <si>
    <t>0.15_1</t>
  </si>
  <si>
    <t>[203, 28, 58]</t>
  </si>
  <si>
    <t>0.15_2</t>
  </si>
  <si>
    <t>[196, 28, 57]</t>
  </si>
  <si>
    <t>0.20_0</t>
  </si>
  <si>
    <t>[133, 18, 38]</t>
  </si>
  <si>
    <t>0.20_1</t>
  </si>
  <si>
    <t>[137, 19, 40]</t>
  </si>
  <si>
    <t>0.20_2</t>
  </si>
  <si>
    <t>[133, 19, 38]</t>
  </si>
  <si>
    <t>0.25_0</t>
  </si>
  <si>
    <t>[85, 12, 25]</t>
  </si>
  <si>
    <t>0.25_1</t>
  </si>
  <si>
    <t>[82, 11, 24]</t>
  </si>
  <si>
    <t>0.25_2</t>
  </si>
  <si>
    <t>[91, 13, 27]</t>
  </si>
  <si>
    <t>0.30_0</t>
  </si>
  <si>
    <t>[70, 9, 20]</t>
  </si>
  <si>
    <t>0.30_1</t>
  </si>
  <si>
    <t>[66, 9, 19]</t>
  </si>
  <si>
    <t>0.30_2</t>
  </si>
  <si>
    <t>[56, 8, 17]</t>
  </si>
  <si>
    <t>0.35_0</t>
  </si>
  <si>
    <t>[49, 7, 15]</t>
  </si>
  <si>
    <t>0.35_1</t>
  </si>
  <si>
    <t>[48, 6, 14]</t>
  </si>
  <si>
    <t>0.35_2</t>
  </si>
  <si>
    <t>[46, 6, 14]</t>
  </si>
  <si>
    <t>0.40_0</t>
  </si>
  <si>
    <t>[33, 4, 10]</t>
  </si>
  <si>
    <t>0.40_1</t>
  </si>
  <si>
    <t>[36, 5, 11]</t>
  </si>
  <si>
    <t>0.40_2</t>
  </si>
  <si>
    <t>[37, 5, 11]</t>
  </si>
  <si>
    <t>0.45_0</t>
  </si>
  <si>
    <t>[29, 4, 9]</t>
  </si>
  <si>
    <t>0.45_1</t>
  </si>
  <si>
    <t>[31, 4, 9]</t>
  </si>
  <si>
    <t>0.45_2</t>
  </si>
  <si>
    <t>[28, 3, 8]</t>
  </si>
  <si>
    <t>0.50_0</t>
  </si>
  <si>
    <t>[26, 3, 8]</t>
  </si>
  <si>
    <t>0.50_1</t>
  </si>
  <si>
    <t>[25, 3, 8]</t>
  </si>
  <si>
    <t>0.50_2</t>
  </si>
  <si>
    <t>0.55_0</t>
  </si>
  <si>
    <t>[20, 2, 6]</t>
  </si>
  <si>
    <t>0.55_1</t>
  </si>
  <si>
    <t>[18, 2, 5]</t>
  </si>
  <si>
    <t>0.55_2</t>
  </si>
  <si>
    <t>[15, 2, 5]</t>
  </si>
  <si>
    <t>0.60_0</t>
  </si>
  <si>
    <t>[14, 1, 4]</t>
  </si>
  <si>
    <t>0.60_1</t>
  </si>
  <si>
    <t>0.60_2</t>
  </si>
  <si>
    <t>[14, 2, 5]</t>
  </si>
  <si>
    <t>0.65_0</t>
  </si>
  <si>
    <t>[11, 1, 3]</t>
  </si>
  <si>
    <t>0.65_1</t>
  </si>
  <si>
    <t>[12, 1, 4]</t>
  </si>
  <si>
    <t>0.65_2</t>
  </si>
  <si>
    <t>0.70_0</t>
  </si>
  <si>
    <t>[9, 1, 3]</t>
  </si>
  <si>
    <t>0.70_1</t>
  </si>
  <si>
    <t>0.70_2</t>
  </si>
  <si>
    <t>0.75_0</t>
  </si>
  <si>
    <t>[7, 1, 2]</t>
  </si>
  <si>
    <t>0.75_1</t>
  </si>
  <si>
    <t>0.75_2</t>
  </si>
  <si>
    <t>0.80_0</t>
  </si>
  <si>
    <t>[7, 0, 2]</t>
  </si>
  <si>
    <t>0.80_1</t>
  </si>
  <si>
    <t>[6, 0, 2]</t>
  </si>
  <si>
    <t>0.80_2</t>
  </si>
  <si>
    <t>[8, 1, 3]</t>
  </si>
  <si>
    <t>0.85_0</t>
  </si>
  <si>
    <t>0.85_1</t>
  </si>
  <si>
    <t>[5, 0, 2]</t>
  </si>
  <si>
    <t>0.85_2</t>
  </si>
  <si>
    <t>0.90_0</t>
  </si>
  <si>
    <t>[4, 0, 2]</t>
  </si>
  <si>
    <t>0.90_1</t>
  </si>
  <si>
    <t>0.95_2</t>
  </si>
  <si>
    <t>[1376, 196, 393]</t>
  </si>
  <si>
    <t>[656, 93, 188]</t>
  </si>
  <si>
    <t>[657, 93, 188]</t>
  </si>
  <si>
    <t>[646, 92, 185]</t>
  </si>
  <si>
    <t>[352, 50, 101]</t>
  </si>
  <si>
    <t>[343, 48, 98]</t>
  </si>
  <si>
    <t>[346, 49, 99]</t>
  </si>
  <si>
    <t>[219, 31, 63]</t>
  </si>
  <si>
    <t>[231, 32, 66]</t>
  </si>
  <si>
    <t>[222, 31, 64]</t>
  </si>
  <si>
    <t>[156, 22, 45]</t>
  </si>
  <si>
    <t>[160, 22, 46]</t>
  </si>
  <si>
    <t>[154, 22, 44]</t>
  </si>
  <si>
    <t>[116, 16, 33]</t>
  </si>
  <si>
    <t>[112, 16, 32]</t>
  </si>
  <si>
    <t>[112, 15, 32]</t>
  </si>
  <si>
    <t>[84, 12, 25]</t>
  </si>
  <si>
    <t>[93, 13, 27]</t>
  </si>
  <si>
    <t>[94, 13, 27]</t>
  </si>
  <si>
    <t>[76, 10, 22]</t>
  </si>
  <si>
    <t>[73, 10, 21]</t>
  </si>
  <si>
    <t>[74, 10, 21]</t>
  </si>
  <si>
    <t>[59, 8, 17]</t>
  </si>
  <si>
    <t>[57, 8, 17]</t>
  </si>
  <si>
    <t>[58, 8, 17]</t>
  </si>
  <si>
    <t>[49, 7, 14]</t>
  </si>
  <si>
    <t>[53, 7, 15]</t>
  </si>
  <si>
    <t>[50, 7, 15]</t>
  </si>
  <si>
    <t>[42, 5, 12]</t>
  </si>
  <si>
    <t>[38, 5, 11]</t>
  </si>
  <si>
    <t>[39, 5, 11]</t>
  </si>
  <si>
    <t>[35, 4, 10]</t>
  </si>
  <si>
    <t>[35, 5, 10]</t>
  </si>
  <si>
    <t>[32, 4, 10]</t>
  </si>
  <si>
    <t>[21, 3, 6]</t>
  </si>
  <si>
    <t>[25, 3, 7]</t>
  </si>
  <si>
    <t>[24, 3, 7]</t>
  </si>
  <si>
    <t>[21, 2, 6]</t>
  </si>
  <si>
    <t>[21, 3, 7]</t>
  </si>
  <si>
    <t>[18, 2, 6]</t>
  </si>
  <si>
    <t>[10, 1, 3]</t>
  </si>
  <si>
    <t>0.90_2</t>
  </si>
  <si>
    <t>0.95_0</t>
  </si>
  <si>
    <t>[7, 1, 3]</t>
  </si>
  <si>
    <t>0.95_1</t>
  </si>
  <si>
    <t>1.00_0</t>
  </si>
  <si>
    <t>[1008, 144, 288]</t>
  </si>
  <si>
    <t>[530, 75, 152]</t>
  </si>
  <si>
    <t>[522, 74, 150]</t>
  </si>
  <si>
    <t>[511, 73, 147]</t>
  </si>
  <si>
    <t>[290, 41, 83]</t>
  </si>
  <si>
    <t>[280, 39, 80]</t>
  </si>
  <si>
    <t>[188, 26, 54]</t>
  </si>
  <si>
    <t>[196, 28, 56]</t>
  </si>
  <si>
    <t>[192, 27, 55]</t>
  </si>
  <si>
    <t>[140, 20, 41]</t>
  </si>
  <si>
    <t>[141, 20, 41]</t>
  </si>
  <si>
    <t>[97, 13, 28]</t>
  </si>
  <si>
    <t>[106, 15, 31]</t>
  </si>
  <si>
    <t>[88, 12, 25]</t>
  </si>
  <si>
    <t>[84, 12, 24]</t>
  </si>
  <si>
    <t>[67, 9, 19]</t>
  </si>
  <si>
    <t>[54, 7, 16]</t>
  </si>
  <si>
    <t>[60, 8, 17]</t>
  </si>
  <si>
    <t>[56, 7, 16]</t>
  </si>
  <si>
    <t>[45, 6, 13]</t>
  </si>
  <si>
    <t>[41, 5, 12]</t>
  </si>
  <si>
    <t>[42, 6, 12]</t>
  </si>
  <si>
    <t>[32, 4, 9]</t>
  </si>
  <si>
    <t>[19, 2, 6]</t>
  </si>
  <si>
    <t>[16, 2, 5]</t>
  </si>
  <si>
    <t>[14, 2, 4]</t>
  </si>
  <si>
    <t>[13, 1, 4]</t>
  </si>
  <si>
    <t>[999, 142, 286]</t>
  </si>
  <si>
    <t>[525, 75, 150]</t>
  </si>
  <si>
    <t>[529, 75, 151]</t>
  </si>
  <si>
    <t>[535, 76, 153]</t>
  </si>
  <si>
    <t>[294, 41, 84]</t>
  </si>
  <si>
    <t>[294, 42, 84]</t>
  </si>
  <si>
    <t>[305, 43, 88]</t>
  </si>
  <si>
    <t>[207, 29, 59]</t>
  </si>
  <si>
    <t>[208, 29, 60]</t>
  </si>
  <si>
    <t>[203, 29, 58]</t>
  </si>
  <si>
    <t>[154, 22, 45]</t>
  </si>
  <si>
    <t>[153, 21, 44]</t>
  </si>
  <si>
    <t>[148, 21, 43]</t>
  </si>
  <si>
    <t>[114, 16, 33]</t>
  </si>
  <si>
    <t>[118, 16, 34]</t>
  </si>
  <si>
    <t>[98, 13, 28]</t>
  </si>
  <si>
    <t>[98, 14, 29]</t>
  </si>
  <si>
    <t>[96, 13, 28]</t>
  </si>
  <si>
    <t>[81, 11, 24]</t>
  </si>
  <si>
    <t>[67, 9, 20]</t>
  </si>
  <si>
    <t>[70, 10, 21]</t>
  </si>
  <si>
    <t>[63, 9, 19]</t>
  </si>
  <si>
    <t>[60, 8, 18]</t>
  </si>
  <si>
    <t>[55, 7, 16]</t>
  </si>
  <si>
    <t>[40, 5, 12]</t>
  </si>
  <si>
    <t>[44, 6, 13]</t>
  </si>
  <si>
    <t>[42, 6, 13]</t>
  </si>
  <si>
    <t>[34, 4, 10]</t>
  </si>
  <si>
    <t>[28, 4, 8]</t>
  </si>
  <si>
    <t>[30, 4, 9]</t>
  </si>
  <si>
    <t>[28, 4, 9]</t>
  </si>
  <si>
    <t>[27, 3, 8]</t>
  </si>
  <si>
    <t>[23, 3, 7]</t>
  </si>
  <si>
    <t>[17, 2, 5]</t>
  </si>
  <si>
    <t>1.00_1</t>
  </si>
  <si>
    <t>1.00_2</t>
  </si>
  <si>
    <t>[5476, 782, 1565]</t>
  </si>
  <si>
    <t>[1630, 232, 466]</t>
  </si>
  <si>
    <t>[1677, 239, 479]</t>
  </si>
  <si>
    <t>[1880, 235, 471]</t>
  </si>
  <si>
    <t>[864, 108, 217]</t>
  </si>
  <si>
    <t>[883, 110, 221]</t>
  </si>
  <si>
    <t>[866, 108, 217]</t>
  </si>
  <si>
    <t>[504, 63, 126]</t>
  </si>
  <si>
    <t>[511, 63, 128]</t>
  </si>
  <si>
    <t>[517, 64, 130]</t>
  </si>
  <si>
    <t>[336, 42, 85]</t>
  </si>
  <si>
    <t>[348, 43, 87]</t>
  </si>
  <si>
    <t>[350, 43, 88]</t>
  </si>
  <si>
    <t>[254, 31, 64]</t>
  </si>
  <si>
    <t>[248, 31, 62]</t>
  </si>
  <si>
    <t>[242, 30, 61]</t>
  </si>
  <si>
    <t>[188, 23, 47]</t>
  </si>
  <si>
    <t>[182, 22, 46]</t>
  </si>
  <si>
    <t>[185, 23, 47]</t>
  </si>
  <si>
    <t>[150, 18, 38]</t>
  </si>
  <si>
    <t>[147, 18, 37]</t>
  </si>
  <si>
    <t>[153, 19, 39]</t>
  </si>
  <si>
    <t>[120, 15, 31]</t>
  </si>
  <si>
    <t>[114, 14, 29]</t>
  </si>
  <si>
    <t>[118, 14, 30]</t>
  </si>
  <si>
    <t>[96, 12, 24]</t>
  </si>
  <si>
    <t>[88, 11, 22]</t>
  </si>
  <si>
    <t>[98, 12, 25]</t>
  </si>
  <si>
    <t>[83, 10, 21]</t>
  </si>
  <si>
    <t>[77, 9, 20]</t>
  </si>
  <si>
    <t>[81, 10, 21]</t>
  </si>
  <si>
    <t>[65, 8, 17]</t>
  </si>
  <si>
    <t>[66, 8, 17]</t>
  </si>
  <si>
    <t>[67, 8, 17]</t>
  </si>
  <si>
    <t>[56, 7, 14]</t>
  </si>
  <si>
    <t>[55, 6, 14]</t>
  </si>
  <si>
    <t>[57, 7, 15]</t>
  </si>
  <si>
    <t>[51, 6, 13]</t>
  </si>
  <si>
    <t>[48, 6, 12]</t>
  </si>
  <si>
    <t>[49, 6, 13]</t>
  </si>
  <si>
    <t>[41, 5, 11]</t>
  </si>
  <si>
    <t>[39, 4, 10]</t>
  </si>
  <si>
    <t>[37, 4, 10]</t>
  </si>
  <si>
    <t>[35, 4, 9]</t>
  </si>
  <si>
    <t>[36, 4, 10]</t>
  </si>
  <si>
    <t>[28, 3, 7]</t>
  </si>
  <si>
    <t>[32, 4, 8]</t>
  </si>
  <si>
    <t>[30, 3, 8]</t>
  </si>
  <si>
    <t>[27, 3, 7]</t>
  </si>
  <si>
    <t>[24, 3, 6]</t>
  </si>
  <si>
    <t>[23, 2, 6]</t>
  </si>
  <si>
    <t>[22, 2, 6]</t>
  </si>
  <si>
    <t>RMSE</t>
  </si>
  <si>
    <t>[774, 110, 222]</t>
  </si>
  <si>
    <t>[449, 64, 129]</t>
  </si>
  <si>
    <t>[440, 62, 126]</t>
  </si>
  <si>
    <t>[447, 63, 128]</t>
  </si>
  <si>
    <t>[250, 35, 72]</t>
  </si>
  <si>
    <t>[264, 37, 76]</t>
  </si>
  <si>
    <t>[254, 36, 73]</t>
  </si>
  <si>
    <t>[165, 23, 48]</t>
  </si>
  <si>
    <t>[164, 23, 47]</t>
  </si>
  <si>
    <t>[173, 24, 50]</t>
  </si>
  <si>
    <t>[109, 15, 31]</t>
  </si>
  <si>
    <t>[105, 15, 30]</t>
  </si>
  <si>
    <t>[83, 11, 24]</t>
  </si>
  <si>
    <t>[79, 11, 23]</t>
  </si>
  <si>
    <t>[64, 9, 19]</t>
  </si>
  <si>
    <t>[56, 8, 16]</t>
  </si>
  <si>
    <t>[52, 7, 15]</t>
  </si>
  <si>
    <t>[49, 6, 14]</t>
  </si>
  <si>
    <t>[11, 1, 4]</t>
  </si>
  <si>
    <t>[448, 64, 129]</t>
  </si>
  <si>
    <t>[310, 44, 89]</t>
  </si>
  <si>
    <t>[292, 41, 84]</t>
  </si>
  <si>
    <t>[299, 42, 86]</t>
  </si>
  <si>
    <t>[194, 27, 56]</t>
  </si>
  <si>
    <t>[182, 26, 52]</t>
  </si>
  <si>
    <t>[190, 27, 55]</t>
  </si>
  <si>
    <t>[126, 18, 36]</t>
  </si>
  <si>
    <t>[121, 17, 35]</t>
  </si>
  <si>
    <t>[126, 17, 36]</t>
  </si>
  <si>
    <t>[91, 12, 26]</t>
  </si>
  <si>
    <t>[95, 13, 28]</t>
  </si>
  <si>
    <t>[47, 6, 14]</t>
  </si>
  <si>
    <t>[2940, 420, 840]</t>
  </si>
  <si>
    <t>[980, 140, 280]</t>
  </si>
  <si>
    <t>[994, 142, 285]</t>
  </si>
  <si>
    <t>[986, 140, 282]</t>
  </si>
  <si>
    <t>[473, 67, 136]</t>
  </si>
  <si>
    <t>[496, 70, 142]</t>
  </si>
  <si>
    <t>[486, 69, 139]</t>
  </si>
  <si>
    <t>[284, 40, 82]</t>
  </si>
  <si>
    <t>[284, 40, 81]</t>
  </si>
  <si>
    <t>[199, 28, 57]</t>
  </si>
  <si>
    <t>[189, 27, 55]</t>
  </si>
  <si>
    <t>[140, 20, 40]</t>
  </si>
  <si>
    <t>[143, 20, 41]</t>
  </si>
  <si>
    <t>[109, 15, 32]</t>
  </si>
  <si>
    <t>[110, 15, 32]</t>
  </si>
  <si>
    <t>[103, 14, 30]</t>
  </si>
  <si>
    <t>[78, 11, 23]</t>
  </si>
  <si>
    <t>[87, 12, 25]</t>
  </si>
  <si>
    <t>[61, 8, 18]</t>
  </si>
  <si>
    <t>[22, 3, 7]</t>
  </si>
  <si>
    <t>AVG</t>
  </si>
  <si>
    <t>SD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</si>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</sst>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bace" connectionId="1" xr16:uid="{09241E11-DBC5-4B4E-B37F-8F944134F89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bbbp" connectionId="2" xr16:uid="{60FCFF62-AE26-B348-8FE5-597657EDAA6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clintox" connectionId="3" xr16:uid="{302CC7FE-8503-3947-9980-2F727AADD99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sider" connectionId="7" xr16:uid="{DFDCCD8F-96E3-8640-B38E-7C30EB097BB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tox21" connectionId="8" xr16:uid="{6F6895B9-928A-B649-8238-53D9C5A0AC2C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delaney" connectionId="4" xr16:uid="{45441D87-BE33-8A47-8380-DC5C18092FBC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freesolv_1" connectionId="5" xr16:uid="{77F16953-8B28-D540-8E5E-4C0584287BEB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ectra_ensemble_lipo" connectionId="6" xr16:uid="{AF48385D-3AE5-EA47-951C-7178E968385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AAE8-4DCC-B544-AA24-B4B6ADBBB55D}">
  <dimension ref="A1:M58"/>
  <sheetViews>
    <sheetView topLeftCell="A24" workbookViewId="0">
      <selection activeCell="O23" sqref="O23"/>
    </sheetView>
  </sheetViews>
  <sheetFormatPr baseColWidth="10" defaultRowHeight="16" x14ac:dyDescent="0.2"/>
  <cols>
    <col min="1" max="1" width="6.5" bestFit="1" customWidth="1"/>
    <col min="2" max="2" width="13.83203125" bestFit="1" customWidth="1"/>
    <col min="3" max="7" width="12.1640625" bestFit="1" customWidth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322</v>
      </c>
      <c r="I1" s="2" t="s">
        <v>323</v>
      </c>
      <c r="K1" s="3" t="s">
        <v>324</v>
      </c>
      <c r="L1" s="3" t="s">
        <v>0</v>
      </c>
      <c r="M1" s="3" t="s">
        <v>323</v>
      </c>
    </row>
    <row r="2" spans="1:13" x14ac:dyDescent="0.2">
      <c r="A2" t="s">
        <v>7</v>
      </c>
      <c r="B2" t="s">
        <v>8</v>
      </c>
      <c r="C2">
        <v>0.88743382692337003</v>
      </c>
      <c r="D2">
        <v>0.86419755220413197</v>
      </c>
      <c r="E2">
        <v>0.89911818504333496</v>
      </c>
      <c r="F2">
        <v>0.89237219095230103</v>
      </c>
      <c r="G2">
        <v>0.89444446563720703</v>
      </c>
      <c r="H2">
        <f>AVERAGE(C2:G2)</f>
        <v>0.88751324415206911</v>
      </c>
      <c r="I2">
        <f>STDEV(C2:G2)</f>
        <v>1.3692640783287668E-2</v>
      </c>
      <c r="K2" s="1">
        <v>0</v>
      </c>
      <c r="L2" s="1">
        <f>AVERAGE(H2:H4)</f>
        <v>0.86892182429631537</v>
      </c>
      <c r="M2" s="1">
        <f>AVERAGE(I2:I4)</f>
        <v>1.665028470989097E-2</v>
      </c>
    </row>
    <row r="3" spans="1:13" x14ac:dyDescent="0.2">
      <c r="A3" t="s">
        <v>9</v>
      </c>
      <c r="B3" t="s">
        <v>8</v>
      </c>
      <c r="C3">
        <v>0.90401709079742398</v>
      </c>
      <c r="D3">
        <v>0.86685258150100697</v>
      </c>
      <c r="E3">
        <v>0.84262806177139205</v>
      </c>
      <c r="F3">
        <v>0.88358306884765603</v>
      </c>
      <c r="G3">
        <v>0.87682986259460405</v>
      </c>
      <c r="H3">
        <f t="shared" ref="H3:H58" si="0">AVERAGE(C3:G3)</f>
        <v>0.87478213310241659</v>
      </c>
      <c r="I3">
        <f t="shared" ref="I3:I58" si="1">STDEV(C3:G3)</f>
        <v>2.2544924646436013E-2</v>
      </c>
      <c r="K3" s="1">
        <v>0.05</v>
      </c>
      <c r="L3" s="1">
        <f>AVERAGE(H5:H7)</f>
        <v>0.79196655352910328</v>
      </c>
      <c r="M3" s="1">
        <f>AVERAGE(I5:I7)</f>
        <v>4.5434451773884749E-2</v>
      </c>
    </row>
    <row r="4" spans="1:13" x14ac:dyDescent="0.2">
      <c r="A4" t="s">
        <v>10</v>
      </c>
      <c r="B4" t="s">
        <v>8</v>
      </c>
      <c r="C4">
        <v>0.82677972316741899</v>
      </c>
      <c r="D4">
        <v>0.83800816535949696</v>
      </c>
      <c r="E4">
        <v>0.85549443960189797</v>
      </c>
      <c r="F4">
        <v>0.84129232168197599</v>
      </c>
      <c r="G4">
        <v>0.86077582836151101</v>
      </c>
      <c r="H4">
        <f t="shared" si="0"/>
        <v>0.84447009563446007</v>
      </c>
      <c r="I4">
        <f t="shared" si="1"/>
        <v>1.3713288699949228E-2</v>
      </c>
      <c r="K4" s="1">
        <v>0.1</v>
      </c>
      <c r="L4" s="1">
        <f>AVERAGE(H8:H10)</f>
        <v>0.82290180524190204</v>
      </c>
      <c r="M4" s="1">
        <f>AVERAGE(I8:I10)</f>
        <v>4.0310311730941427E-2</v>
      </c>
    </row>
    <row r="5" spans="1:13" x14ac:dyDescent="0.2">
      <c r="A5" t="s">
        <v>11</v>
      </c>
      <c r="B5" t="s">
        <v>12</v>
      </c>
      <c r="C5">
        <v>0.69508194923400801</v>
      </c>
      <c r="D5">
        <v>0.79763203859329201</v>
      </c>
      <c r="E5">
        <v>0.800728619098663</v>
      </c>
      <c r="F5">
        <v>0.83788704872131303</v>
      </c>
      <c r="G5">
        <v>0.71839708089828402</v>
      </c>
      <c r="H5">
        <f t="shared" si="0"/>
        <v>0.76994534730911202</v>
      </c>
      <c r="I5">
        <f t="shared" si="1"/>
        <v>6.0398654017355211E-2</v>
      </c>
      <c r="K5" s="1">
        <v>0.15</v>
      </c>
      <c r="L5" s="1">
        <f>AVERAGE(H11:H13)</f>
        <v>0.71404044628143259</v>
      </c>
      <c r="M5" s="1">
        <f>AVERAGE(I11:I13)</f>
        <v>1.920316826956197E-2</v>
      </c>
    </row>
    <row r="6" spans="1:13" x14ac:dyDescent="0.2">
      <c r="A6" t="s">
        <v>13</v>
      </c>
      <c r="B6" t="s">
        <v>14</v>
      </c>
      <c r="C6">
        <v>0.86653667688369695</v>
      </c>
      <c r="D6">
        <v>0.88496983051300004</v>
      </c>
      <c r="E6">
        <v>0.84987592697143499</v>
      </c>
      <c r="F6">
        <v>0.76462250947952204</v>
      </c>
      <c r="G6">
        <v>0.85200285911560003</v>
      </c>
      <c r="H6">
        <f t="shared" si="0"/>
        <v>0.84360156059265079</v>
      </c>
      <c r="I6">
        <f t="shared" si="1"/>
        <v>4.6327619517259395E-2</v>
      </c>
      <c r="K6" s="1">
        <v>0.2</v>
      </c>
      <c r="L6" s="1">
        <f>AVERAGE(H14:H16)</f>
        <v>0.62526392539342213</v>
      </c>
      <c r="M6" s="1">
        <f>AVERAGE(I14:I16)</f>
        <v>0.10432849236830648</v>
      </c>
    </row>
    <row r="7" spans="1:13" x14ac:dyDescent="0.2">
      <c r="A7" t="s">
        <v>15</v>
      </c>
      <c r="B7" t="s">
        <v>16</v>
      </c>
      <c r="C7">
        <v>0.78037559986114502</v>
      </c>
      <c r="D7">
        <v>0.77862668037414495</v>
      </c>
      <c r="E7">
        <v>0.78387331962585405</v>
      </c>
      <c r="F7">
        <v>0.75552284717559803</v>
      </c>
      <c r="G7">
        <v>0.71336531639099099</v>
      </c>
      <c r="H7">
        <f t="shared" si="0"/>
        <v>0.7623527526855467</v>
      </c>
      <c r="I7">
        <f t="shared" si="1"/>
        <v>2.957708178703964E-2</v>
      </c>
      <c r="K7" s="1">
        <v>0.25</v>
      </c>
      <c r="L7" s="1">
        <f>AVERAGE(H17:H19)</f>
        <v>0.32485348085562354</v>
      </c>
      <c r="M7" s="1">
        <f>AVERAGE(I17:I19)</f>
        <v>0.22243666649793237</v>
      </c>
    </row>
    <row r="8" spans="1:13" x14ac:dyDescent="0.2">
      <c r="A8" t="s">
        <v>17</v>
      </c>
      <c r="B8" t="s">
        <v>18</v>
      </c>
      <c r="C8">
        <v>0.81773394346237105</v>
      </c>
      <c r="D8">
        <v>0.84174883365631104</v>
      </c>
      <c r="E8">
        <v>0.83066493272781305</v>
      </c>
      <c r="F8">
        <v>0.83128082752227705</v>
      </c>
      <c r="G8">
        <v>0.79864531755447299</v>
      </c>
      <c r="H8">
        <f t="shared" si="0"/>
        <v>0.82401477098464893</v>
      </c>
      <c r="I8">
        <f t="shared" si="1"/>
        <v>1.6542182212235183E-2</v>
      </c>
      <c r="K8" s="1">
        <v>0.3</v>
      </c>
      <c r="L8" s="1">
        <f>AVERAGE(H20:H22)</f>
        <v>0.48160053590933433</v>
      </c>
      <c r="M8" s="1">
        <f>AVERAGE(I20:I22)</f>
        <v>8.7834881592451008E-2</v>
      </c>
    </row>
    <row r="9" spans="1:13" x14ac:dyDescent="0.2">
      <c r="A9" t="s">
        <v>19</v>
      </c>
      <c r="B9" t="s">
        <v>20</v>
      </c>
      <c r="C9">
        <v>0.845464646816253</v>
      </c>
      <c r="D9">
        <v>0.80067193508148105</v>
      </c>
      <c r="E9">
        <v>0.77827548980712802</v>
      </c>
      <c r="F9">
        <v>0.80515122413635198</v>
      </c>
      <c r="G9">
        <v>0.89025753736495905</v>
      </c>
      <c r="H9">
        <f t="shared" si="0"/>
        <v>0.82396416664123462</v>
      </c>
      <c r="I9">
        <f t="shared" si="1"/>
        <v>4.4274687173502851E-2</v>
      </c>
      <c r="K9" s="1">
        <v>0.35</v>
      </c>
      <c r="L9" s="1">
        <f>AVERAGE(H23:H25)</f>
        <v>0.42956789334615025</v>
      </c>
      <c r="M9" s="1">
        <f>AVERAGE(I23:I25)</f>
        <v>2.4238396087047837E-2</v>
      </c>
    </row>
    <row r="10" spans="1:13" x14ac:dyDescent="0.2">
      <c r="A10" t="s">
        <v>21</v>
      </c>
      <c r="B10" t="s">
        <v>22</v>
      </c>
      <c r="C10">
        <v>0.84348285198211603</v>
      </c>
      <c r="D10">
        <v>0.75106841325759799</v>
      </c>
      <c r="E10">
        <v>0.76335465908050504</v>
      </c>
      <c r="F10">
        <v>0.88621795177459695</v>
      </c>
      <c r="G10">
        <v>0.85950851440429599</v>
      </c>
      <c r="H10">
        <f t="shared" si="0"/>
        <v>0.82072647809982247</v>
      </c>
      <c r="I10">
        <f t="shared" si="1"/>
        <v>6.0114065807086232E-2</v>
      </c>
      <c r="K10" s="1">
        <v>0.4</v>
      </c>
      <c r="L10" s="1">
        <f>AVERAGE(H26:H28)</f>
        <v>0.56785715520381896</v>
      </c>
      <c r="M10" s="1">
        <f>AVERAGE(I26:I28)</f>
        <v>8.6933298962826408E-2</v>
      </c>
    </row>
    <row r="11" spans="1:13" x14ac:dyDescent="0.2">
      <c r="A11" t="s">
        <v>23</v>
      </c>
      <c r="B11" t="s">
        <v>24</v>
      </c>
      <c r="C11">
        <v>0.62698411941528298</v>
      </c>
      <c r="D11">
        <v>0.70238095521926802</v>
      </c>
      <c r="E11">
        <v>0.62037038803100497</v>
      </c>
      <c r="F11">
        <v>0.63756614923477095</v>
      </c>
      <c r="G11">
        <v>0.658730149269104</v>
      </c>
      <c r="H11">
        <f t="shared" si="0"/>
        <v>0.64920635223388623</v>
      </c>
      <c r="I11">
        <f t="shared" si="1"/>
        <v>3.3087293261294684E-2</v>
      </c>
      <c r="K11" s="1">
        <v>0.45</v>
      </c>
      <c r="L11" s="1">
        <f>AVERAGE(H29:H31)</f>
        <v>0.66092592775821657</v>
      </c>
      <c r="M11" s="1">
        <f>AVERAGE(I29:I31)</f>
        <v>0.17922338966302412</v>
      </c>
    </row>
    <row r="12" spans="1:13" x14ac:dyDescent="0.2">
      <c r="A12" t="s">
        <v>25</v>
      </c>
      <c r="B12" t="s">
        <v>26</v>
      </c>
      <c r="C12">
        <v>0.77732795476913397</v>
      </c>
      <c r="D12">
        <v>0.78407549858093195</v>
      </c>
      <c r="E12">
        <v>0.77597844600677401</v>
      </c>
      <c r="F12">
        <v>0.78002703189849798</v>
      </c>
      <c r="G12">
        <v>0.76383262872695901</v>
      </c>
      <c r="H12">
        <f t="shared" si="0"/>
        <v>0.77624831199645938</v>
      </c>
      <c r="I12">
        <f t="shared" si="1"/>
        <v>7.5982106634348264E-3</v>
      </c>
      <c r="K12" s="1">
        <v>0.5</v>
      </c>
      <c r="L12" s="1">
        <f>AVERAGE(H32:H34)</f>
        <v>0.58047620058059646</v>
      </c>
      <c r="M12" s="1">
        <f>AVERAGE(I32:I34)</f>
        <v>5.2310933955114991E-2</v>
      </c>
    </row>
    <row r="13" spans="1:13" x14ac:dyDescent="0.2">
      <c r="A13" t="s">
        <v>27</v>
      </c>
      <c r="B13" t="s">
        <v>28</v>
      </c>
      <c r="C13">
        <v>0.69444441795349099</v>
      </c>
      <c r="D13">
        <v>0.72751325368881203</v>
      </c>
      <c r="E13">
        <v>0.72883599996566695</v>
      </c>
      <c r="F13">
        <v>0.70238095521926802</v>
      </c>
      <c r="G13">
        <v>0.73015874624252297</v>
      </c>
      <c r="H13">
        <f t="shared" si="0"/>
        <v>0.71666667461395206</v>
      </c>
      <c r="I13">
        <f t="shared" si="1"/>
        <v>1.6924000883956396E-2</v>
      </c>
      <c r="K13" s="1">
        <v>0.55000000000000004</v>
      </c>
      <c r="L13" s="1">
        <f>AVERAGE(H35:H37)</f>
        <v>0.31111112236976568</v>
      </c>
      <c r="M13" s="1">
        <f>AVERAGE(I35:I37)</f>
        <v>0</v>
      </c>
    </row>
    <row r="14" spans="1:13" x14ac:dyDescent="0.2">
      <c r="A14" t="s">
        <v>29</v>
      </c>
      <c r="B14" t="s">
        <v>30</v>
      </c>
      <c r="C14">
        <v>0.51820725202560403</v>
      </c>
      <c r="D14">
        <v>0.60504198074340798</v>
      </c>
      <c r="E14">
        <v>0.37815123796463002</v>
      </c>
      <c r="F14">
        <v>0.57983189821243197</v>
      </c>
      <c r="G14">
        <v>0.54621851444244296</v>
      </c>
      <c r="H14">
        <f t="shared" si="0"/>
        <v>0.52549017667770337</v>
      </c>
      <c r="I14">
        <f t="shared" si="1"/>
        <v>8.870312856452453E-2</v>
      </c>
      <c r="K14" s="1">
        <v>0.6</v>
      </c>
      <c r="L14" s="1" t="e">
        <f>AVERAGE(H38:H40)</f>
        <v>#DIV/0!</v>
      </c>
      <c r="M14" s="1" t="e">
        <f>AVERAGE(I38:I40)</f>
        <v>#DIV/0!</v>
      </c>
    </row>
    <row r="15" spans="1:13" x14ac:dyDescent="0.2">
      <c r="A15" t="s">
        <v>31</v>
      </c>
      <c r="B15" t="s">
        <v>32</v>
      </c>
      <c r="C15">
        <v>0.76802504062652499</v>
      </c>
      <c r="D15">
        <v>0.41379308700561501</v>
      </c>
      <c r="E15">
        <v>0.56112855672836304</v>
      </c>
      <c r="F15">
        <v>0.76175546646118097</v>
      </c>
      <c r="G15">
        <v>0.60815042257308904</v>
      </c>
      <c r="H15">
        <f t="shared" si="0"/>
        <v>0.62257051467895463</v>
      </c>
      <c r="I15">
        <f t="shared" si="1"/>
        <v>0.14840867350014725</v>
      </c>
      <c r="K15" s="1">
        <v>0.65</v>
      </c>
      <c r="L15" s="1" t="e">
        <f>AVERAGE(H41:H43)</f>
        <v>#DIV/0!</v>
      </c>
      <c r="M15" s="1" t="e">
        <f>AVERAGE(I41:I43)</f>
        <v>#DIV/0!</v>
      </c>
    </row>
    <row r="16" spans="1:13" x14ac:dyDescent="0.2">
      <c r="A16" t="s">
        <v>33</v>
      </c>
      <c r="B16" t="s">
        <v>34</v>
      </c>
      <c r="C16">
        <v>0.63865542411804199</v>
      </c>
      <c r="D16">
        <v>0.83753502368927002</v>
      </c>
      <c r="E16">
        <v>0.72549015283584595</v>
      </c>
      <c r="F16">
        <v>0.680672287940979</v>
      </c>
      <c r="G16">
        <v>0.75630253553390503</v>
      </c>
      <c r="H16">
        <f t="shared" si="0"/>
        <v>0.72773108482360838</v>
      </c>
      <c r="I16">
        <f t="shared" si="1"/>
        <v>7.5873675040247654E-2</v>
      </c>
      <c r="K16" s="1">
        <v>0.7</v>
      </c>
      <c r="L16" s="1" t="e">
        <f>AVERAGE(H44:H46)</f>
        <v>#DIV/0!</v>
      </c>
      <c r="M16" s="1" t="e">
        <f>AVERAGE(I44:I46)</f>
        <v>#DIV/0!</v>
      </c>
    </row>
    <row r="17" spans="1:13" x14ac:dyDescent="0.2">
      <c r="A17" t="s">
        <v>35</v>
      </c>
      <c r="B17" t="s">
        <v>36</v>
      </c>
      <c r="C17">
        <v>7.0512816309928894E-2</v>
      </c>
      <c r="D17">
        <v>8.9743584394454901E-2</v>
      </c>
      <c r="E17">
        <v>0.83333331346511796</v>
      </c>
      <c r="F17">
        <v>0.73076921701431197</v>
      </c>
      <c r="G17">
        <v>0.54487180709838801</v>
      </c>
      <c r="H17">
        <f t="shared" si="0"/>
        <v>0.45384614765644038</v>
      </c>
      <c r="I17">
        <f t="shared" si="1"/>
        <v>0.35654511829784291</v>
      </c>
      <c r="K17" s="1">
        <v>0.75</v>
      </c>
      <c r="L17" s="1" t="e">
        <f>AVERAGE(H47:H49)</f>
        <v>#DIV/0!</v>
      </c>
      <c r="M17" s="1" t="e">
        <f>AVERAGE(I47:I49)</f>
        <v>#DIV/0!</v>
      </c>
    </row>
    <row r="18" spans="1:13" x14ac:dyDescent="0.2">
      <c r="A18" t="s">
        <v>37</v>
      </c>
      <c r="B18" t="s">
        <v>38</v>
      </c>
      <c r="C18">
        <v>0.207142874598503</v>
      </c>
      <c r="D18">
        <v>0.23571428656578</v>
      </c>
      <c r="E18">
        <v>0.34999996423721302</v>
      </c>
      <c r="F18">
        <v>0.18571430444717399</v>
      </c>
      <c r="G18">
        <v>0.25</v>
      </c>
      <c r="H18">
        <f t="shared" si="0"/>
        <v>0.24571428596973402</v>
      </c>
      <c r="I18">
        <f t="shared" si="1"/>
        <v>6.3406666807230769E-2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40</v>
      </c>
      <c r="C19">
        <v>0.130681812763214</v>
      </c>
      <c r="D19">
        <v>0.715909123420715</v>
      </c>
      <c r="E19">
        <v>0.164772734045982</v>
      </c>
      <c r="F19">
        <v>0.181818187236785</v>
      </c>
      <c r="G19">
        <v>0.181818187236785</v>
      </c>
      <c r="H19">
        <f t="shared" si="0"/>
        <v>0.27500000894069621</v>
      </c>
      <c r="I19">
        <f t="shared" si="1"/>
        <v>0.24735821438872338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42</v>
      </c>
      <c r="C20">
        <v>0.48958331346511802</v>
      </c>
      <c r="D20">
        <v>0.46875</v>
      </c>
      <c r="E20">
        <v>0.5</v>
      </c>
      <c r="F20">
        <v>0.61458331346511796</v>
      </c>
      <c r="G20">
        <v>0.44791668653488098</v>
      </c>
      <c r="H20">
        <f t="shared" si="0"/>
        <v>0.50416666269302346</v>
      </c>
      <c r="I20">
        <f t="shared" si="1"/>
        <v>6.4885036284435746E-2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44</v>
      </c>
      <c r="C21">
        <v>0.133333325386047</v>
      </c>
      <c r="D21">
        <v>0.56666672229766801</v>
      </c>
      <c r="E21">
        <v>0.16666667163372001</v>
      </c>
      <c r="F21">
        <v>0.144444450736045</v>
      </c>
      <c r="G21">
        <v>0.144444450736045</v>
      </c>
      <c r="H21">
        <f t="shared" si="0"/>
        <v>0.231111124157905</v>
      </c>
      <c r="I21">
        <f t="shared" si="1"/>
        <v>0.18797165304958136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46</v>
      </c>
      <c r="C22">
        <v>0.71428573131561202</v>
      </c>
      <c r="D22">
        <v>0.71428573131561202</v>
      </c>
      <c r="E22">
        <v>0.69047617912292403</v>
      </c>
      <c r="F22">
        <v>0.71428573131561202</v>
      </c>
      <c r="G22">
        <v>0.71428573131561202</v>
      </c>
      <c r="H22">
        <f t="shared" si="0"/>
        <v>0.70952382087707444</v>
      </c>
      <c r="I22">
        <f t="shared" si="1"/>
        <v>1.0647955443335902E-2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48</v>
      </c>
      <c r="C23">
        <v>0.61111110448837203</v>
      </c>
      <c r="D23">
        <v>0.70370376110076904</v>
      </c>
      <c r="E23">
        <v>0.66666668653488104</v>
      </c>
      <c r="F23">
        <v>0.66666662693023604</v>
      </c>
      <c r="G23">
        <v>0.64814817905426003</v>
      </c>
      <c r="H23">
        <f t="shared" si="0"/>
        <v>0.65925927162170361</v>
      </c>
      <c r="I23">
        <f t="shared" si="1"/>
        <v>3.3640577171620792E-2</v>
      </c>
    </row>
    <row r="24" spans="1:13" x14ac:dyDescent="0.2">
      <c r="A24" t="s">
        <v>49</v>
      </c>
      <c r="B24" t="s">
        <v>50</v>
      </c>
      <c r="C24">
        <v>0.29166665673255898</v>
      </c>
      <c r="D24">
        <v>0.29166665673255898</v>
      </c>
      <c r="E24">
        <v>0.312499970197677</v>
      </c>
      <c r="F24">
        <v>0.29166665673255898</v>
      </c>
      <c r="G24">
        <v>0.27083331346511802</v>
      </c>
      <c r="H24">
        <f t="shared" si="0"/>
        <v>0.29166665077209436</v>
      </c>
      <c r="I24">
        <f t="shared" si="1"/>
        <v>1.4731387762484546E-2</v>
      </c>
    </row>
    <row r="25" spans="1:13" x14ac:dyDescent="0.2">
      <c r="A25" t="s">
        <v>51</v>
      </c>
      <c r="B25" t="s">
        <v>52</v>
      </c>
      <c r="C25">
        <v>0.31111109256744301</v>
      </c>
      <c r="D25">
        <v>0.37777775526046697</v>
      </c>
      <c r="E25">
        <v>0.33333331346511802</v>
      </c>
      <c r="F25">
        <v>0.33333331346511802</v>
      </c>
      <c r="G25">
        <v>0.33333331346511802</v>
      </c>
      <c r="H25">
        <f t="shared" si="0"/>
        <v>0.33777775764465279</v>
      </c>
      <c r="I25">
        <f t="shared" si="1"/>
        <v>2.4343223327038171E-2</v>
      </c>
    </row>
    <row r="26" spans="1:13" x14ac:dyDescent="0.2">
      <c r="A26" t="s">
        <v>53</v>
      </c>
      <c r="B26" t="s">
        <v>54</v>
      </c>
    </row>
    <row r="27" spans="1:13" x14ac:dyDescent="0.2">
      <c r="A27" t="s">
        <v>55</v>
      </c>
      <c r="B27" t="s">
        <v>56</v>
      </c>
      <c r="C27">
        <v>0.57142859697341897</v>
      </c>
      <c r="D27">
        <v>0.57142859697341897</v>
      </c>
      <c r="E27">
        <v>0.57142859697341897</v>
      </c>
      <c r="F27">
        <v>0.57142859697341897</v>
      </c>
      <c r="G27">
        <v>0.57142859697341897</v>
      </c>
      <c r="H27">
        <f t="shared" si="0"/>
        <v>0.57142859697341897</v>
      </c>
      <c r="I27">
        <f t="shared" si="1"/>
        <v>0</v>
      </c>
    </row>
    <row r="28" spans="1:13" x14ac:dyDescent="0.2">
      <c r="A28" t="s">
        <v>57</v>
      </c>
      <c r="B28" t="s">
        <v>58</v>
      </c>
      <c r="C28">
        <v>0.75</v>
      </c>
      <c r="D28">
        <v>0.71428573131561202</v>
      </c>
      <c r="E28">
        <v>0.53571426868438698</v>
      </c>
      <c r="F28">
        <v>0.32142856717109602</v>
      </c>
      <c r="G28">
        <v>0.5</v>
      </c>
      <c r="H28">
        <f t="shared" si="0"/>
        <v>0.56428571343421896</v>
      </c>
      <c r="I28">
        <f t="shared" si="1"/>
        <v>0.17386659792565282</v>
      </c>
    </row>
    <row r="29" spans="1:13" x14ac:dyDescent="0.2">
      <c r="A29" t="s">
        <v>59</v>
      </c>
      <c r="B29" t="s">
        <v>60</v>
      </c>
      <c r="C29">
        <v>0.61111110448837203</v>
      </c>
      <c r="D29">
        <v>0.27777779102325401</v>
      </c>
      <c r="E29">
        <v>0.61111110448837203</v>
      </c>
      <c r="F29">
        <v>0.22222220897674499</v>
      </c>
      <c r="G29">
        <v>0.16666667163372001</v>
      </c>
      <c r="H29">
        <f t="shared" si="0"/>
        <v>0.37777777612209262</v>
      </c>
      <c r="I29">
        <f t="shared" si="1"/>
        <v>0.21659542595640799</v>
      </c>
    </row>
    <row r="30" spans="1:13" x14ac:dyDescent="0.2">
      <c r="A30" t="s">
        <v>61</v>
      </c>
      <c r="B30" t="s">
        <v>62</v>
      </c>
      <c r="C30">
        <v>0.65000003576278598</v>
      </c>
      <c r="D30">
        <v>0.82499998807907104</v>
      </c>
      <c r="E30">
        <v>0.80000001192092896</v>
      </c>
      <c r="F30">
        <v>0.85000002384185702</v>
      </c>
      <c r="G30">
        <v>0.64999997615814198</v>
      </c>
      <c r="H30">
        <f t="shared" si="0"/>
        <v>0.755000007152557</v>
      </c>
      <c r="I30">
        <f t="shared" si="1"/>
        <v>9.7467945282685362E-2</v>
      </c>
    </row>
    <row r="31" spans="1:13" x14ac:dyDescent="0.2">
      <c r="A31" t="s">
        <v>63</v>
      </c>
      <c r="B31" t="s">
        <v>64</v>
      </c>
      <c r="C31">
        <v>1</v>
      </c>
      <c r="D31">
        <v>0.5</v>
      </c>
      <c r="E31">
        <v>1</v>
      </c>
      <c r="F31">
        <v>1</v>
      </c>
      <c r="G31">
        <v>0.75</v>
      </c>
      <c r="H31">
        <f t="shared" si="0"/>
        <v>0.85</v>
      </c>
      <c r="I31">
        <f t="shared" si="1"/>
        <v>0.22360679774997907</v>
      </c>
    </row>
    <row r="32" spans="1:13" x14ac:dyDescent="0.2">
      <c r="A32" t="s">
        <v>65</v>
      </c>
      <c r="B32" t="s">
        <v>66</v>
      </c>
      <c r="C32">
        <v>0.60000002384185702</v>
      </c>
      <c r="D32">
        <v>0.66666668653488104</v>
      </c>
      <c r="E32">
        <v>0.60000002384185702</v>
      </c>
      <c r="F32">
        <v>0.53333336114883401</v>
      </c>
      <c r="G32">
        <v>0.53333336114883401</v>
      </c>
      <c r="H32">
        <f t="shared" si="0"/>
        <v>0.58666669130325266</v>
      </c>
      <c r="I32">
        <f t="shared" si="1"/>
        <v>5.5777331777683258E-2</v>
      </c>
    </row>
    <row r="33" spans="1:9" x14ac:dyDescent="0.2">
      <c r="A33" t="s">
        <v>67</v>
      </c>
      <c r="B33" t="s">
        <v>68</v>
      </c>
      <c r="C33">
        <v>1</v>
      </c>
      <c r="D33">
        <v>1</v>
      </c>
      <c r="E33">
        <v>0.85714280605316095</v>
      </c>
      <c r="F33">
        <v>1</v>
      </c>
      <c r="G33">
        <v>1</v>
      </c>
      <c r="H33">
        <f t="shared" si="0"/>
        <v>0.97142856121063215</v>
      </c>
      <c r="I33">
        <f t="shared" si="1"/>
        <v>6.3887679348000714E-2</v>
      </c>
    </row>
    <row r="34" spans="1:9" x14ac:dyDescent="0.2">
      <c r="A34" t="s">
        <v>69</v>
      </c>
      <c r="B34" t="s">
        <v>68</v>
      </c>
      <c r="C34">
        <v>0.16666668653488101</v>
      </c>
      <c r="D34">
        <v>0.16666668653488101</v>
      </c>
      <c r="E34">
        <v>0.16666668653488101</v>
      </c>
      <c r="F34">
        <v>0.25</v>
      </c>
      <c r="G34">
        <v>0.16666668653488101</v>
      </c>
      <c r="H34">
        <f t="shared" si="0"/>
        <v>0.18333334922790481</v>
      </c>
      <c r="I34">
        <f t="shared" si="1"/>
        <v>3.7267790739660994E-2</v>
      </c>
    </row>
    <row r="35" spans="1:9" x14ac:dyDescent="0.2">
      <c r="A35" t="s">
        <v>70</v>
      </c>
      <c r="B35" t="s">
        <v>71</v>
      </c>
      <c r="C35">
        <v>0.60000002384185702</v>
      </c>
      <c r="D35">
        <v>0.60000002384185702</v>
      </c>
      <c r="E35">
        <v>0.60000002384185702</v>
      </c>
      <c r="F35">
        <v>0.60000002384185702</v>
      </c>
      <c r="G35">
        <v>0.60000002384185702</v>
      </c>
      <c r="H35">
        <f t="shared" si="0"/>
        <v>0.60000002384185702</v>
      </c>
      <c r="I35">
        <f t="shared" si="1"/>
        <v>0</v>
      </c>
    </row>
    <row r="36" spans="1:9" x14ac:dyDescent="0.2">
      <c r="A36" t="s">
        <v>72</v>
      </c>
      <c r="B36" t="s">
        <v>73</v>
      </c>
      <c r="C36">
        <v>0.33333334326744002</v>
      </c>
      <c r="D36">
        <v>0.33333334326744002</v>
      </c>
      <c r="E36">
        <v>0.33333334326744002</v>
      </c>
      <c r="F36">
        <v>0.33333334326744002</v>
      </c>
      <c r="G36">
        <v>0.33333334326744002</v>
      </c>
      <c r="H36">
        <f t="shared" si="0"/>
        <v>0.33333334326744002</v>
      </c>
      <c r="I36">
        <f t="shared" si="1"/>
        <v>0</v>
      </c>
    </row>
    <row r="37" spans="1:9" x14ac:dyDescent="0.2">
      <c r="A37" t="s">
        <v>74</v>
      </c>
      <c r="B37" t="s">
        <v>75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0</v>
      </c>
    </row>
    <row r="38" spans="1:9" x14ac:dyDescent="0.2">
      <c r="A38" t="s">
        <v>76</v>
      </c>
      <c r="B38" t="s">
        <v>77</v>
      </c>
      <c r="H38" t="e">
        <f t="shared" si="0"/>
        <v>#DIV/0!</v>
      </c>
      <c r="I38" t="e">
        <f t="shared" si="1"/>
        <v>#DIV/0!</v>
      </c>
    </row>
    <row r="39" spans="1:9" x14ac:dyDescent="0.2">
      <c r="A39" t="s">
        <v>78</v>
      </c>
      <c r="B39" t="s">
        <v>77</v>
      </c>
      <c r="H39" t="e">
        <f t="shared" si="0"/>
        <v>#DIV/0!</v>
      </c>
      <c r="I39" t="e">
        <f t="shared" si="1"/>
        <v>#DIV/0!</v>
      </c>
    </row>
    <row r="40" spans="1:9" x14ac:dyDescent="0.2">
      <c r="A40" t="s">
        <v>79</v>
      </c>
      <c r="B40" t="s">
        <v>80</v>
      </c>
      <c r="C40">
        <v>0.83333337306976296</v>
      </c>
      <c r="D40">
        <v>0.83333337306976296</v>
      </c>
      <c r="E40">
        <v>1</v>
      </c>
      <c r="F40">
        <v>0.83333337306976296</v>
      </c>
      <c r="G40">
        <v>0.83333337306976296</v>
      </c>
      <c r="H40">
        <f t="shared" si="0"/>
        <v>0.86666669845581035</v>
      </c>
      <c r="I40">
        <f t="shared" si="1"/>
        <v>7.4535581479321419E-2</v>
      </c>
    </row>
    <row r="41" spans="1:9" x14ac:dyDescent="0.2">
      <c r="A41" t="s">
        <v>81</v>
      </c>
      <c r="B41" t="s">
        <v>82</v>
      </c>
      <c r="H41" t="e">
        <f t="shared" si="0"/>
        <v>#DIV/0!</v>
      </c>
      <c r="I41" t="e">
        <f t="shared" si="1"/>
        <v>#DIV/0!</v>
      </c>
    </row>
    <row r="42" spans="1:9" x14ac:dyDescent="0.2">
      <c r="A42" t="s">
        <v>83</v>
      </c>
      <c r="B42" t="s">
        <v>84</v>
      </c>
      <c r="H42" t="e">
        <f t="shared" si="0"/>
        <v>#DIV/0!</v>
      </c>
      <c r="I42" t="e">
        <f t="shared" si="1"/>
        <v>#DIV/0!</v>
      </c>
    </row>
    <row r="43" spans="1:9" x14ac:dyDescent="0.2">
      <c r="A43" t="s">
        <v>85</v>
      </c>
      <c r="B43" t="s">
        <v>84</v>
      </c>
      <c r="H43" t="e">
        <f t="shared" si="0"/>
        <v>#DIV/0!</v>
      </c>
      <c r="I43" t="e">
        <f t="shared" si="1"/>
        <v>#DIV/0!</v>
      </c>
    </row>
    <row r="44" spans="1:9" x14ac:dyDescent="0.2">
      <c r="A44" t="s">
        <v>86</v>
      </c>
      <c r="B44" t="s">
        <v>87</v>
      </c>
      <c r="H44" t="e">
        <f t="shared" si="0"/>
        <v>#DIV/0!</v>
      </c>
      <c r="I44" t="e">
        <f t="shared" si="1"/>
        <v>#DIV/0!</v>
      </c>
    </row>
    <row r="45" spans="1:9" x14ac:dyDescent="0.2">
      <c r="A45" t="s">
        <v>88</v>
      </c>
      <c r="B45" t="s">
        <v>87</v>
      </c>
      <c r="H45" t="e">
        <f t="shared" si="0"/>
        <v>#DIV/0!</v>
      </c>
      <c r="I45" t="e">
        <f t="shared" si="1"/>
        <v>#DIV/0!</v>
      </c>
    </row>
    <row r="46" spans="1:9" x14ac:dyDescent="0.2">
      <c r="A46" t="s">
        <v>89</v>
      </c>
      <c r="B46" t="s">
        <v>87</v>
      </c>
      <c r="H46" t="e">
        <f t="shared" si="0"/>
        <v>#DIV/0!</v>
      </c>
      <c r="I46" t="e">
        <f t="shared" si="1"/>
        <v>#DIV/0!</v>
      </c>
    </row>
    <row r="47" spans="1:9" x14ac:dyDescent="0.2">
      <c r="A47" t="s">
        <v>90</v>
      </c>
      <c r="B47" t="s">
        <v>91</v>
      </c>
      <c r="H47" t="e">
        <f t="shared" si="0"/>
        <v>#DIV/0!</v>
      </c>
      <c r="I47" t="e">
        <f t="shared" si="1"/>
        <v>#DIV/0!</v>
      </c>
    </row>
    <row r="48" spans="1:9" x14ac:dyDescent="0.2">
      <c r="A48" t="s">
        <v>92</v>
      </c>
      <c r="B48" t="s">
        <v>91</v>
      </c>
      <c r="H48" t="e">
        <f t="shared" si="0"/>
        <v>#DIV/0!</v>
      </c>
      <c r="I48" t="e">
        <f t="shared" si="1"/>
        <v>#DIV/0!</v>
      </c>
    </row>
    <row r="49" spans="1:9" x14ac:dyDescent="0.2">
      <c r="A49" t="s">
        <v>93</v>
      </c>
      <c r="B49" t="s">
        <v>87</v>
      </c>
      <c r="H49" t="e">
        <f t="shared" si="0"/>
        <v>#DIV/0!</v>
      </c>
      <c r="I49" t="e">
        <f t="shared" si="1"/>
        <v>#DIV/0!</v>
      </c>
    </row>
    <row r="50" spans="1:9" x14ac:dyDescent="0.2">
      <c r="A50" t="s">
        <v>94</v>
      </c>
      <c r="B50" t="s">
        <v>95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97</v>
      </c>
      <c r="H51" t="e">
        <f t="shared" si="0"/>
        <v>#DIV/0!</v>
      </c>
      <c r="I51" t="e">
        <f t="shared" si="1"/>
        <v>#DIV/0!</v>
      </c>
    </row>
    <row r="52" spans="1:9" x14ac:dyDescent="0.2">
      <c r="A52" t="s">
        <v>98</v>
      </c>
      <c r="B52" t="s">
        <v>99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95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102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102</v>
      </c>
      <c r="H55" t="e">
        <f t="shared" si="0"/>
        <v>#DIV/0!</v>
      </c>
      <c r="I55" t="e">
        <f t="shared" si="1"/>
        <v>#DIV/0!</v>
      </c>
    </row>
    <row r="56" spans="1:9" x14ac:dyDescent="0.2">
      <c r="A56" t="s">
        <v>104</v>
      </c>
      <c r="B56" t="s">
        <v>105</v>
      </c>
      <c r="H56" t="e">
        <f t="shared" si="0"/>
        <v>#DIV/0!</v>
      </c>
      <c r="I56" t="e">
        <f t="shared" si="1"/>
        <v>#DIV/0!</v>
      </c>
    </row>
    <row r="57" spans="1:9" x14ac:dyDescent="0.2">
      <c r="A57" t="s">
        <v>106</v>
      </c>
      <c r="B57" t="s">
        <v>102</v>
      </c>
      <c r="H57" t="e">
        <f t="shared" si="0"/>
        <v>#DIV/0!</v>
      </c>
      <c r="I57" t="e">
        <f t="shared" si="1"/>
        <v>#DIV/0!</v>
      </c>
    </row>
    <row r="58" spans="1:9" x14ac:dyDescent="0.2">
      <c r="A58" t="s">
        <v>107</v>
      </c>
      <c r="B58" t="s">
        <v>105</v>
      </c>
      <c r="H58" t="e">
        <f t="shared" si="0"/>
        <v>#DIV/0!</v>
      </c>
      <c r="I58" t="e">
        <f t="shared" si="1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5F55-96C2-B946-B83A-08308ED702B8}">
  <dimension ref="A1:M62"/>
  <sheetViews>
    <sheetView topLeftCell="A34" workbookViewId="0">
      <selection activeCell="G29" sqref="G29"/>
    </sheetView>
  </sheetViews>
  <sheetFormatPr baseColWidth="10" defaultRowHeight="16" x14ac:dyDescent="0.2"/>
  <cols>
    <col min="1" max="1" width="6.5" bestFit="1" customWidth="1"/>
    <col min="2" max="2" width="13.83203125" bestFit="1" customWidth="1"/>
    <col min="3" max="7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108</v>
      </c>
      <c r="C2">
        <v>0.90126049518585205</v>
      </c>
      <c r="D2">
        <v>0.88876998424529996</v>
      </c>
      <c r="E2">
        <v>0.88773870468139604</v>
      </c>
      <c r="F2">
        <v>0.89346832036972001</v>
      </c>
      <c r="G2">
        <v>0.86058068275451605</v>
      </c>
      <c r="H2">
        <f>AVERAGE(C2:G2)</f>
        <v>0.8863636374473568</v>
      </c>
      <c r="I2">
        <f>STDEV(C2:G2)</f>
        <v>1.5369083881379073E-2</v>
      </c>
      <c r="K2" s="1">
        <v>0</v>
      </c>
      <c r="L2" s="1">
        <f>AVERAGE(H2:H4)</f>
        <v>0.89080303510030079</v>
      </c>
      <c r="M2" s="1">
        <f>AVERAGE(I2:I4)</f>
        <v>1.3198853394248882E-2</v>
      </c>
    </row>
    <row r="3" spans="1:13" x14ac:dyDescent="0.2">
      <c r="A3" t="s">
        <v>9</v>
      </c>
      <c r="B3" t="s">
        <v>108</v>
      </c>
      <c r="C3">
        <v>0.90574967861175504</v>
      </c>
      <c r="D3">
        <v>0.87917160987854004</v>
      </c>
      <c r="E3">
        <v>0.87568491697311401</v>
      </c>
      <c r="F3">
        <v>0.90439766645431496</v>
      </c>
      <c r="G3">
        <v>0.90204936265945401</v>
      </c>
      <c r="H3">
        <f t="shared" ref="H3:H62" si="0">AVERAGE(C3:G3)</f>
        <v>0.89341064691543559</v>
      </c>
      <c r="I3">
        <f t="shared" ref="I3:I62" si="1">STDEV(C3:G3)</f>
        <v>1.470157635240728E-2</v>
      </c>
      <c r="K3" s="1">
        <v>0.05</v>
      </c>
      <c r="L3" s="1">
        <f>AVERAGE(H5:H7)</f>
        <v>0.8441971858342483</v>
      </c>
      <c r="M3" s="1">
        <f>AVERAGE(I5:I7)</f>
        <v>1.2715475610828801E-2</v>
      </c>
    </row>
    <row r="4" spans="1:13" x14ac:dyDescent="0.2">
      <c r="A4" t="s">
        <v>10</v>
      </c>
      <c r="B4" t="s">
        <v>108</v>
      </c>
      <c r="C4">
        <v>0.90726965665817205</v>
      </c>
      <c r="D4">
        <v>0.89522182941436701</v>
      </c>
      <c r="E4">
        <v>0.89191126823425204</v>
      </c>
      <c r="F4">
        <v>0.88273042440414395</v>
      </c>
      <c r="G4">
        <v>0.88604092597961404</v>
      </c>
      <c r="H4">
        <f t="shared" si="0"/>
        <v>0.89263482093810986</v>
      </c>
      <c r="I4">
        <f t="shared" si="1"/>
        <v>9.5258999489602949E-3</v>
      </c>
      <c r="K4" s="1">
        <v>0.1</v>
      </c>
      <c r="L4" s="1">
        <f>AVERAGE(H8:H10)</f>
        <v>0.85166358550389576</v>
      </c>
      <c r="M4" s="1">
        <f>AVERAGE(I8:I10)</f>
        <v>1.7886475938244561E-2</v>
      </c>
    </row>
    <row r="5" spans="1:13" x14ac:dyDescent="0.2">
      <c r="A5" t="s">
        <v>11</v>
      </c>
      <c r="B5" t="s">
        <v>109</v>
      </c>
      <c r="C5">
        <v>0.87942022085189797</v>
      </c>
      <c r="D5">
        <v>0.88594210147857599</v>
      </c>
      <c r="E5">
        <v>0.89028990268707198</v>
      </c>
      <c r="F5">
        <v>0.87362319231033303</v>
      </c>
      <c r="G5">
        <v>0.85188400745391801</v>
      </c>
      <c r="H5">
        <f t="shared" si="0"/>
        <v>0.87623188495635951</v>
      </c>
      <c r="I5">
        <f t="shared" si="1"/>
        <v>1.5014210513738814E-2</v>
      </c>
      <c r="K5" s="1">
        <v>0.15</v>
      </c>
      <c r="L5" s="1">
        <f>AVERAGE(H11:H13)</f>
        <v>0.76018314361572215</v>
      </c>
      <c r="M5" s="1">
        <f>AVERAGE(I11:I13)</f>
        <v>5.645403442965622E-2</v>
      </c>
    </row>
    <row r="6" spans="1:13" x14ac:dyDescent="0.2">
      <c r="A6" t="s">
        <v>13</v>
      </c>
      <c r="B6" t="s">
        <v>110</v>
      </c>
      <c r="C6">
        <v>0.86608624458312899</v>
      </c>
      <c r="D6">
        <v>0.86995577812194802</v>
      </c>
      <c r="E6">
        <v>0.84825873374938898</v>
      </c>
      <c r="F6">
        <v>0.87271976470947199</v>
      </c>
      <c r="G6">
        <v>0.88405191898345903</v>
      </c>
      <c r="H6">
        <f t="shared" si="0"/>
        <v>0.86821448802947931</v>
      </c>
      <c r="I6">
        <f t="shared" si="1"/>
        <v>1.3008798728416154E-2</v>
      </c>
      <c r="K6" s="1">
        <v>0.2</v>
      </c>
      <c r="L6" s="1">
        <f>AVERAGE(H14:H16)</f>
        <v>0.82480758031209278</v>
      </c>
      <c r="M6" s="1">
        <f>AVERAGE(I14:I16)</f>
        <v>3.9723354748450068E-2</v>
      </c>
    </row>
    <row r="7" spans="1:13" x14ac:dyDescent="0.2">
      <c r="A7" t="s">
        <v>15</v>
      </c>
      <c r="B7" t="s">
        <v>111</v>
      </c>
      <c r="C7">
        <v>0.79170829057693404</v>
      </c>
      <c r="D7">
        <v>0.79370629787445002</v>
      </c>
      <c r="E7">
        <v>0.78088581562042203</v>
      </c>
      <c r="F7">
        <v>0.77472525835037198</v>
      </c>
      <c r="G7">
        <v>0.79970026016235296</v>
      </c>
      <c r="H7">
        <f t="shared" si="0"/>
        <v>0.78814518451690618</v>
      </c>
      <c r="I7">
        <f t="shared" si="1"/>
        <v>1.0123417590331437E-2</v>
      </c>
      <c r="K7" s="1">
        <v>0.25</v>
      </c>
      <c r="L7" s="1">
        <f>AVERAGE(H17:H19)</f>
        <v>0.65595398445924069</v>
      </c>
      <c r="M7" s="1">
        <f>AVERAGE(I17:I19)</f>
        <v>7.9604160629862905E-2</v>
      </c>
    </row>
    <row r="8" spans="1:13" x14ac:dyDescent="0.2">
      <c r="A8" t="s">
        <v>17</v>
      </c>
      <c r="B8" t="s">
        <v>112</v>
      </c>
      <c r="C8">
        <v>0.88038027286529497</v>
      </c>
      <c r="D8">
        <v>0.88488483428955</v>
      </c>
      <c r="E8">
        <v>0.90490496158599798</v>
      </c>
      <c r="F8">
        <v>0.85885882377624501</v>
      </c>
      <c r="G8">
        <v>0.86086082458496005</v>
      </c>
      <c r="H8">
        <f t="shared" si="0"/>
        <v>0.87797794342040958</v>
      </c>
      <c r="I8">
        <f t="shared" si="1"/>
        <v>1.895440007441997E-2</v>
      </c>
      <c r="K8" s="1">
        <v>0.3</v>
      </c>
      <c r="L8" s="1">
        <f>AVERAGE(H20:H22)</f>
        <v>0.56591844360033627</v>
      </c>
      <c r="M8" s="1">
        <f>AVERAGE(I20:I22)</f>
        <v>0.15204304376978842</v>
      </c>
    </row>
    <row r="9" spans="1:13" x14ac:dyDescent="0.2">
      <c r="A9" t="s">
        <v>19</v>
      </c>
      <c r="B9" t="s">
        <v>113</v>
      </c>
      <c r="C9">
        <v>0.80876064300537098</v>
      </c>
      <c r="D9">
        <v>0.81410253047943104</v>
      </c>
      <c r="E9">
        <v>0.83119654655456499</v>
      </c>
      <c r="F9">
        <v>0.78258550167083696</v>
      </c>
      <c r="G9">
        <v>0.77564096450805597</v>
      </c>
      <c r="H9">
        <f t="shared" si="0"/>
        <v>0.80245723724365203</v>
      </c>
      <c r="I9">
        <f t="shared" si="1"/>
        <v>2.2996152050496602E-2</v>
      </c>
      <c r="K9" s="1">
        <v>0.35</v>
      </c>
      <c r="L9" s="1">
        <f>AVERAGE(H23:H25)</f>
        <v>0.6254678249359128</v>
      </c>
      <c r="M9" s="1">
        <f>AVERAGE(I23:I25)</f>
        <v>0.10525843064490731</v>
      </c>
    </row>
    <row r="10" spans="1:13" x14ac:dyDescent="0.2">
      <c r="A10" t="s">
        <v>21</v>
      </c>
      <c r="B10" t="s">
        <v>114</v>
      </c>
      <c r="C10">
        <v>0.85944449901580799</v>
      </c>
      <c r="D10">
        <v>0.87333333492278997</v>
      </c>
      <c r="E10">
        <v>0.87222230434417702</v>
      </c>
      <c r="F10">
        <v>0.89222216606140103</v>
      </c>
      <c r="G10">
        <v>0.87555557489395097</v>
      </c>
      <c r="H10">
        <f t="shared" si="0"/>
        <v>0.87455557584762533</v>
      </c>
      <c r="I10">
        <f t="shared" si="1"/>
        <v>1.1708875689817112E-2</v>
      </c>
      <c r="K10" s="1">
        <v>0.4</v>
      </c>
      <c r="L10" s="1">
        <f>AVERAGE(H26:H28)</f>
        <v>0.64149877900878571</v>
      </c>
      <c r="M10" s="1">
        <f>AVERAGE(I26:I28)</f>
        <v>0.20505511154467013</v>
      </c>
    </row>
    <row r="11" spans="1:13" x14ac:dyDescent="0.2">
      <c r="A11" t="s">
        <v>23</v>
      </c>
      <c r="B11" t="s">
        <v>115</v>
      </c>
      <c r="C11">
        <v>0.78139537572860696</v>
      </c>
      <c r="D11">
        <v>0.79302328824996904</v>
      </c>
      <c r="E11">
        <v>0.85000002384185702</v>
      </c>
      <c r="F11">
        <v>0.79767441749572698</v>
      </c>
      <c r="G11">
        <v>0.77499997615814198</v>
      </c>
      <c r="H11">
        <f t="shared" si="0"/>
        <v>0.79941861629486044</v>
      </c>
      <c r="I11">
        <f t="shared" si="1"/>
        <v>2.9679658127763364E-2</v>
      </c>
      <c r="K11" s="1">
        <v>0.45</v>
      </c>
      <c r="L11" s="1">
        <f>AVERAGE(H29:H31)</f>
        <v>0.57544443905353526</v>
      </c>
      <c r="M11" s="1">
        <f>AVERAGE(I29:I31)</f>
        <v>0.17344809451114906</v>
      </c>
    </row>
    <row r="12" spans="1:13" x14ac:dyDescent="0.2">
      <c r="A12" t="s">
        <v>25</v>
      </c>
      <c r="B12" t="s">
        <v>116</v>
      </c>
      <c r="C12">
        <v>0.79831928014755205</v>
      </c>
      <c r="D12">
        <v>0.78751492500305098</v>
      </c>
      <c r="E12">
        <v>0.85234093666076605</v>
      </c>
      <c r="F12">
        <v>0.77551019191741899</v>
      </c>
      <c r="G12">
        <v>0.77911168336868197</v>
      </c>
      <c r="H12">
        <f t="shared" si="0"/>
        <v>0.79855940341949405</v>
      </c>
      <c r="I12">
        <f t="shared" si="1"/>
        <v>3.1320805571142314E-2</v>
      </c>
      <c r="K12" s="1">
        <v>0.5</v>
      </c>
      <c r="L12" s="1">
        <f>AVERAGE(H32:H34)</f>
        <v>0.54333333770434045</v>
      </c>
      <c r="M12" s="1">
        <f>AVERAGE(I32:I34)</f>
        <v>0.1127465484977735</v>
      </c>
    </row>
    <row r="13" spans="1:13" x14ac:dyDescent="0.2">
      <c r="A13" t="s">
        <v>27</v>
      </c>
      <c r="B13" t="s">
        <v>117</v>
      </c>
      <c r="C13">
        <v>0.77571427822113004</v>
      </c>
      <c r="D13">
        <v>0.731428563594818</v>
      </c>
      <c r="E13">
        <v>0.51714283227920499</v>
      </c>
      <c r="F13">
        <v>0.75857138633728005</v>
      </c>
      <c r="G13">
        <v>0.62999999523162797</v>
      </c>
      <c r="H13">
        <f t="shared" si="0"/>
        <v>0.68257141113281228</v>
      </c>
      <c r="I13">
        <f t="shared" si="1"/>
        <v>0.10836163959006298</v>
      </c>
      <c r="K13" s="1">
        <v>0.55000000000000004</v>
      </c>
      <c r="L13" s="1">
        <f>AVERAGE(H35:H37)</f>
        <v>0.45624999999999999</v>
      </c>
      <c r="M13" s="1">
        <f>AVERAGE(I35:I37)</f>
        <v>5.4326686710022061E-2</v>
      </c>
    </row>
    <row r="14" spans="1:13" x14ac:dyDescent="0.2">
      <c r="A14" t="s">
        <v>29</v>
      </c>
      <c r="B14" t="s">
        <v>118</v>
      </c>
      <c r="C14">
        <v>0.78879308700561501</v>
      </c>
      <c r="D14">
        <v>0.85129314661026001</v>
      </c>
      <c r="E14">
        <v>0.84698271751403797</v>
      </c>
      <c r="F14">
        <v>0.85775864124298096</v>
      </c>
      <c r="G14">
        <v>0.82974135875701904</v>
      </c>
      <c r="H14">
        <f t="shared" si="0"/>
        <v>0.83491379022598267</v>
      </c>
      <c r="I14">
        <f t="shared" si="1"/>
        <v>2.7792547797380582E-2</v>
      </c>
      <c r="K14" s="1">
        <v>0.6</v>
      </c>
      <c r="L14" s="1">
        <f>AVERAGE(H38:H40)</f>
        <v>0.35833332836627935</v>
      </c>
      <c r="M14" s="1">
        <f>AVERAGE(I38:I40)</f>
        <v>0.28594902319511223</v>
      </c>
    </row>
    <row r="15" spans="1:13" x14ac:dyDescent="0.2">
      <c r="A15" t="s">
        <v>31</v>
      </c>
      <c r="B15" t="s">
        <v>119</v>
      </c>
      <c r="C15">
        <v>0.75669646263122503</v>
      </c>
      <c r="D15">
        <v>0.72991073131561202</v>
      </c>
      <c r="E15">
        <v>0.89955359697341897</v>
      </c>
      <c r="F15">
        <v>0.77232146263122503</v>
      </c>
      <c r="G15">
        <v>0.859374940395355</v>
      </c>
      <c r="H15">
        <f t="shared" si="0"/>
        <v>0.8035714387893671</v>
      </c>
      <c r="I15">
        <f t="shared" si="1"/>
        <v>7.2329678739786352E-2</v>
      </c>
      <c r="K15" s="1">
        <v>0.65</v>
      </c>
      <c r="L15" s="1">
        <f>AVERAGE(H41:H43)</f>
        <v>0.20416666766007732</v>
      </c>
      <c r="M15" s="1">
        <f>AVERAGE(I41:I43)</f>
        <v>5.0542682647897831E-2</v>
      </c>
    </row>
    <row r="16" spans="1:13" x14ac:dyDescent="0.2">
      <c r="A16" t="s">
        <v>33</v>
      </c>
      <c r="B16" t="s">
        <v>120</v>
      </c>
      <c r="C16">
        <v>0.85677087306976296</v>
      </c>
      <c r="D16">
        <v>0.84635412693023604</v>
      </c>
      <c r="E16">
        <v>0.80729168653488104</v>
      </c>
      <c r="F16">
        <v>0.828125</v>
      </c>
      <c r="G16">
        <v>0.84114587306976296</v>
      </c>
      <c r="H16">
        <f t="shared" si="0"/>
        <v>0.83593751192092858</v>
      </c>
      <c r="I16">
        <f t="shared" si="1"/>
        <v>1.9047837708183281E-2</v>
      </c>
      <c r="K16" s="1">
        <v>0.7</v>
      </c>
      <c r="L16" s="1">
        <f>AVERAGE(H44:H46)</f>
        <v>0.40277778456608426</v>
      </c>
      <c r="M16" s="1">
        <f>AVERAGE(I44:I46)</f>
        <v>0.15555232717309128</v>
      </c>
    </row>
    <row r="17" spans="1:13" x14ac:dyDescent="0.2">
      <c r="A17" t="s">
        <v>35</v>
      </c>
      <c r="B17" t="s">
        <v>121</v>
      </c>
      <c r="C17">
        <v>0.38888889551162698</v>
      </c>
      <c r="D17">
        <v>0.30092591047286898</v>
      </c>
      <c r="E17">
        <v>0.15277777612209301</v>
      </c>
      <c r="F17">
        <v>0.25925925374031</v>
      </c>
      <c r="G17">
        <v>0.143518507480621</v>
      </c>
      <c r="H17">
        <f t="shared" si="0"/>
        <v>0.24907406866550402</v>
      </c>
      <c r="I17">
        <f t="shared" si="1"/>
        <v>0.10338700323843553</v>
      </c>
      <c r="K17" s="1">
        <v>0.75</v>
      </c>
      <c r="L17" s="1">
        <f>AVERAGE(H47:H49)</f>
        <v>0.21333333849906908</v>
      </c>
      <c r="M17" s="1">
        <f>AVERAGE(I47:I49)</f>
        <v>5.5777335339742468E-2</v>
      </c>
    </row>
    <row r="18" spans="1:13" x14ac:dyDescent="0.2">
      <c r="A18" t="s">
        <v>37</v>
      </c>
      <c r="B18" t="s">
        <v>122</v>
      </c>
      <c r="C18">
        <v>0.81363642215728704</v>
      </c>
      <c r="D18">
        <v>0.79999995231628396</v>
      </c>
      <c r="E18">
        <v>0.74545449018478305</v>
      </c>
      <c r="F18">
        <v>0.80909097194671598</v>
      </c>
      <c r="G18">
        <v>0.75909090042114202</v>
      </c>
      <c r="H18">
        <f t="shared" si="0"/>
        <v>0.78545454740524234</v>
      </c>
      <c r="I18">
        <f t="shared" si="1"/>
        <v>3.1062493032647687E-2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123</v>
      </c>
      <c r="C19">
        <v>0.74814814329147294</v>
      </c>
      <c r="D19">
        <v>0.992592573165893</v>
      </c>
      <c r="E19">
        <v>0.97037041187286299</v>
      </c>
      <c r="F19">
        <v>0.992592573165893</v>
      </c>
      <c r="G19">
        <v>0.96296298503875699</v>
      </c>
      <c r="H19">
        <f t="shared" si="0"/>
        <v>0.93333333730697576</v>
      </c>
      <c r="I19">
        <f t="shared" si="1"/>
        <v>0.10436298561850549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124</v>
      </c>
      <c r="C20">
        <v>0.78999996185302701</v>
      </c>
      <c r="D20">
        <v>0.81999999284744196</v>
      </c>
      <c r="E20">
        <v>0.77999997138976995</v>
      </c>
      <c r="F20">
        <v>0.83000004291534402</v>
      </c>
      <c r="G20">
        <v>0.77999997138976995</v>
      </c>
      <c r="H20">
        <f t="shared" si="0"/>
        <v>0.79999998807907058</v>
      </c>
      <c r="I20">
        <f t="shared" si="1"/>
        <v>2.3452107264489354E-2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125</v>
      </c>
      <c r="C21">
        <v>0.227272719144821</v>
      </c>
      <c r="D21">
        <v>0.98181819915771396</v>
      </c>
      <c r="E21">
        <v>0.98181819915771396</v>
      </c>
      <c r="F21">
        <v>0.227272719144821</v>
      </c>
      <c r="G21">
        <v>0.85454547405242898</v>
      </c>
      <c r="H21">
        <f t="shared" si="0"/>
        <v>0.65454546213149989</v>
      </c>
      <c r="I21">
        <f t="shared" si="1"/>
        <v>0.39349043424470664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126</v>
      </c>
      <c r="C22">
        <v>0.240740746259689</v>
      </c>
      <c r="D22">
        <v>0.30864197015762301</v>
      </c>
      <c r="E22">
        <v>0.20370370149612399</v>
      </c>
      <c r="F22">
        <v>0.228395074605941</v>
      </c>
      <c r="G22">
        <v>0.234567910432815</v>
      </c>
      <c r="H22">
        <f t="shared" si="0"/>
        <v>0.24320988059043841</v>
      </c>
      <c r="I22">
        <f t="shared" si="1"/>
        <v>3.9186589800169272E-2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127</v>
      </c>
      <c r="C23">
        <v>0.701754391193389</v>
      </c>
      <c r="D23">
        <v>0.45614033937454201</v>
      </c>
      <c r="E23">
        <v>0.38596490025520303</v>
      </c>
      <c r="F23">
        <v>0.75438594818115201</v>
      </c>
      <c r="G23">
        <v>0.50877189636230402</v>
      </c>
      <c r="H23">
        <f t="shared" si="0"/>
        <v>0.56140349507331799</v>
      </c>
      <c r="I23">
        <f t="shared" si="1"/>
        <v>0.15935002269494758</v>
      </c>
    </row>
    <row r="24" spans="1:13" x14ac:dyDescent="0.2">
      <c r="A24" t="s">
        <v>49</v>
      </c>
      <c r="B24" t="s">
        <v>128</v>
      </c>
      <c r="C24">
        <v>0.36874997615814198</v>
      </c>
      <c r="D24">
        <v>0.64374995231628396</v>
      </c>
      <c r="E24">
        <v>0.499999970197677</v>
      </c>
      <c r="F24">
        <v>0.58749997615814198</v>
      </c>
      <c r="G24">
        <v>0.59999996423721302</v>
      </c>
      <c r="H24">
        <f t="shared" si="0"/>
        <v>0.53999996781349158</v>
      </c>
      <c r="I24">
        <f t="shared" si="1"/>
        <v>0.10902622287681664</v>
      </c>
    </row>
    <row r="25" spans="1:13" x14ac:dyDescent="0.2">
      <c r="A25" t="s">
        <v>51</v>
      </c>
      <c r="B25" t="s">
        <v>129</v>
      </c>
      <c r="C25">
        <v>0.79807686805725098</v>
      </c>
      <c r="D25">
        <v>0.73076927661895696</v>
      </c>
      <c r="E25">
        <v>0.74038463830947798</v>
      </c>
      <c r="F25">
        <v>0.84615385532379095</v>
      </c>
      <c r="G25">
        <v>0.75961542129516602</v>
      </c>
      <c r="H25">
        <f t="shared" si="0"/>
        <v>0.7750000119209286</v>
      </c>
      <c r="I25">
        <f t="shared" si="1"/>
        <v>4.739904636295774E-2</v>
      </c>
    </row>
    <row r="26" spans="1:13" x14ac:dyDescent="0.2">
      <c r="A26" t="s">
        <v>53</v>
      </c>
      <c r="B26" t="s">
        <v>130</v>
      </c>
      <c r="C26">
        <v>0.80769228935241699</v>
      </c>
      <c r="D26">
        <v>0.115384615957736</v>
      </c>
      <c r="E26">
        <v>7.6923079788684803E-2</v>
      </c>
      <c r="F26">
        <v>5.7692307978868401E-2</v>
      </c>
      <c r="G26">
        <v>0.115384615957736</v>
      </c>
      <c r="H26">
        <f t="shared" si="0"/>
        <v>0.23461538180708846</v>
      </c>
      <c r="I26">
        <f t="shared" si="1"/>
        <v>0.32133227708263773</v>
      </c>
    </row>
    <row r="27" spans="1:13" x14ac:dyDescent="0.2">
      <c r="A27" t="s">
        <v>55</v>
      </c>
      <c r="B27" t="s">
        <v>131</v>
      </c>
      <c r="C27">
        <v>0.9375</v>
      </c>
      <c r="D27">
        <v>0.9375</v>
      </c>
      <c r="E27">
        <v>0.9375</v>
      </c>
      <c r="F27">
        <v>0.9375</v>
      </c>
      <c r="G27">
        <v>0.9375</v>
      </c>
      <c r="H27">
        <f t="shared" si="0"/>
        <v>0.9375</v>
      </c>
      <c r="I27">
        <f t="shared" si="1"/>
        <v>0</v>
      </c>
    </row>
    <row r="28" spans="1:13" x14ac:dyDescent="0.2">
      <c r="A28" t="s">
        <v>57</v>
      </c>
      <c r="B28" t="s">
        <v>132</v>
      </c>
      <c r="C28">
        <v>0.73809522390365601</v>
      </c>
      <c r="D28">
        <v>1</v>
      </c>
      <c r="E28">
        <v>0.26190477609634399</v>
      </c>
      <c r="F28">
        <v>0.80952382087707497</v>
      </c>
      <c r="G28">
        <v>0.95238095521926802</v>
      </c>
      <c r="H28">
        <f t="shared" si="0"/>
        <v>0.75238095521926862</v>
      </c>
      <c r="I28">
        <f t="shared" si="1"/>
        <v>0.29383305755137262</v>
      </c>
    </row>
    <row r="29" spans="1:13" x14ac:dyDescent="0.2">
      <c r="A29" t="s">
        <v>59</v>
      </c>
      <c r="B29" t="s">
        <v>133</v>
      </c>
      <c r="C29">
        <v>0.41666665673255898</v>
      </c>
      <c r="D29">
        <v>1</v>
      </c>
      <c r="E29">
        <v>0.25</v>
      </c>
      <c r="F29">
        <v>0.16666667163372001</v>
      </c>
      <c r="G29">
        <v>0.95833337306976296</v>
      </c>
      <c r="H29">
        <f t="shared" si="0"/>
        <v>0.55833334028720838</v>
      </c>
      <c r="I29">
        <f t="shared" si="1"/>
        <v>0.39484526773916806</v>
      </c>
    </row>
    <row r="30" spans="1:13" x14ac:dyDescent="0.2">
      <c r="A30" t="s">
        <v>61</v>
      </c>
      <c r="B30" t="s">
        <v>134</v>
      </c>
      <c r="C30">
        <v>0.74000000953674305</v>
      </c>
      <c r="D30">
        <v>0.70999997854232699</v>
      </c>
      <c r="E30">
        <v>0.74000000953674305</v>
      </c>
      <c r="F30">
        <v>0.77999997138976995</v>
      </c>
      <c r="G30">
        <v>0.75</v>
      </c>
      <c r="H30">
        <f t="shared" si="0"/>
        <v>0.7439999938011167</v>
      </c>
      <c r="I30">
        <f t="shared" si="1"/>
        <v>2.5099797043993111E-2</v>
      </c>
    </row>
    <row r="31" spans="1:13" x14ac:dyDescent="0.2">
      <c r="A31" t="s">
        <v>63</v>
      </c>
      <c r="B31" t="s">
        <v>135</v>
      </c>
      <c r="C31">
        <v>0.33999997377395602</v>
      </c>
      <c r="D31">
        <v>0.56000000238418501</v>
      </c>
      <c r="E31">
        <v>0.33999997377395602</v>
      </c>
      <c r="F31">
        <v>0.5</v>
      </c>
      <c r="G31">
        <v>0.37999996542930597</v>
      </c>
      <c r="H31">
        <f t="shared" si="0"/>
        <v>0.4239999830722806</v>
      </c>
      <c r="I31">
        <f t="shared" si="1"/>
        <v>0.10039921875028603</v>
      </c>
    </row>
    <row r="32" spans="1:13" x14ac:dyDescent="0.2">
      <c r="A32" t="s">
        <v>65</v>
      </c>
      <c r="B32" t="s">
        <v>136</v>
      </c>
      <c r="C32">
        <v>0.375</v>
      </c>
      <c r="D32">
        <v>0.59375</v>
      </c>
      <c r="E32">
        <v>0.71875</v>
      </c>
      <c r="F32">
        <v>0.46875</v>
      </c>
      <c r="G32">
        <v>0.59375</v>
      </c>
      <c r="H32">
        <f t="shared" si="0"/>
        <v>0.55000000000000004</v>
      </c>
      <c r="I32">
        <f t="shared" si="1"/>
        <v>0.13184389443580621</v>
      </c>
    </row>
    <row r="33" spans="1:9" x14ac:dyDescent="0.2">
      <c r="A33" t="s">
        <v>67</v>
      </c>
      <c r="B33" t="s">
        <v>137</v>
      </c>
      <c r="C33">
        <v>0.5</v>
      </c>
      <c r="D33">
        <v>0.80000001192092896</v>
      </c>
      <c r="E33">
        <v>0.80000001192092896</v>
      </c>
      <c r="F33">
        <v>0.80000001192092896</v>
      </c>
      <c r="G33">
        <v>0.69999998807907104</v>
      </c>
      <c r="H33">
        <f t="shared" si="0"/>
        <v>0.72000000476837156</v>
      </c>
      <c r="I33">
        <f t="shared" si="1"/>
        <v>0.1303840540469613</v>
      </c>
    </row>
    <row r="34" spans="1:9" x14ac:dyDescent="0.2">
      <c r="A34" t="s">
        <v>69</v>
      </c>
      <c r="B34" t="s">
        <v>138</v>
      </c>
      <c r="C34">
        <v>0.33333331346511802</v>
      </c>
      <c r="D34">
        <v>0.46666666865348799</v>
      </c>
      <c r="E34">
        <v>0.40000003576278598</v>
      </c>
      <c r="F34">
        <v>0.266666680574417</v>
      </c>
      <c r="G34">
        <v>0.33333334326744002</v>
      </c>
      <c r="H34">
        <f t="shared" si="0"/>
        <v>0.36000000834464985</v>
      </c>
      <c r="I34">
        <f t="shared" si="1"/>
        <v>7.6011697010552964E-2</v>
      </c>
    </row>
    <row r="35" spans="1:9" x14ac:dyDescent="0.2">
      <c r="A35" t="s">
        <v>70</v>
      </c>
      <c r="B35" t="s">
        <v>139</v>
      </c>
      <c r="C35">
        <v>0.25</v>
      </c>
      <c r="D35">
        <v>0.53125</v>
      </c>
      <c r="E35">
        <v>0.25</v>
      </c>
      <c r="F35">
        <v>0.5625</v>
      </c>
      <c r="G35">
        <v>0.25</v>
      </c>
      <c r="H35">
        <f t="shared" si="0"/>
        <v>0.36875000000000002</v>
      </c>
      <c r="I35">
        <f t="shared" si="1"/>
        <v>0.16298006013006619</v>
      </c>
    </row>
    <row r="36" spans="1:9" x14ac:dyDescent="0.2">
      <c r="A36" t="s">
        <v>72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0</v>
      </c>
    </row>
    <row r="37" spans="1:9" x14ac:dyDescent="0.2">
      <c r="A37" t="s">
        <v>74</v>
      </c>
      <c r="B37" t="s">
        <v>54</v>
      </c>
      <c r="C37">
        <v>1</v>
      </c>
      <c r="D37">
        <v>1</v>
      </c>
      <c r="E37">
        <v>1</v>
      </c>
      <c r="F37">
        <v>1</v>
      </c>
      <c r="G37">
        <v>1</v>
      </c>
      <c r="H37">
        <f t="shared" si="0"/>
        <v>1</v>
      </c>
      <c r="I37">
        <f t="shared" si="1"/>
        <v>0</v>
      </c>
    </row>
    <row r="38" spans="1:9" x14ac:dyDescent="0.2">
      <c r="A38" t="s">
        <v>76</v>
      </c>
      <c r="B38" t="s">
        <v>62</v>
      </c>
      <c r="C38">
        <v>0.25</v>
      </c>
      <c r="D38">
        <v>0.125</v>
      </c>
      <c r="E38">
        <v>1</v>
      </c>
      <c r="F38">
        <v>1</v>
      </c>
      <c r="G38">
        <v>0</v>
      </c>
      <c r="H38">
        <f t="shared" si="0"/>
        <v>0.47499999999999998</v>
      </c>
      <c r="I38">
        <f t="shared" si="1"/>
        <v>0.48733971724044817</v>
      </c>
    </row>
    <row r="39" spans="1:9" x14ac:dyDescent="0.2">
      <c r="A39" t="s">
        <v>78</v>
      </c>
      <c r="B39" t="s">
        <v>141</v>
      </c>
      <c r="C39">
        <v>0.28571429848670898</v>
      </c>
      <c r="D39">
        <v>0.28571429848670898</v>
      </c>
      <c r="E39">
        <v>0.28571426868438698</v>
      </c>
      <c r="F39">
        <v>0.21428571641445099</v>
      </c>
      <c r="G39">
        <v>0.42857140302657998</v>
      </c>
      <c r="H39">
        <f t="shared" si="0"/>
        <v>0.29999999701976721</v>
      </c>
      <c r="I39">
        <f t="shared" si="1"/>
        <v>7.8246068178347894E-2</v>
      </c>
    </row>
    <row r="40" spans="1:9" x14ac:dyDescent="0.2">
      <c r="A40" t="s">
        <v>79</v>
      </c>
      <c r="B40" t="s">
        <v>68</v>
      </c>
      <c r="C40">
        <v>0.41666665673255898</v>
      </c>
      <c r="D40">
        <v>0</v>
      </c>
      <c r="E40">
        <v>0.41666665673255898</v>
      </c>
      <c r="F40">
        <v>0</v>
      </c>
      <c r="G40">
        <v>0.66666662693023604</v>
      </c>
      <c r="H40">
        <f t="shared" si="0"/>
        <v>0.2999999880790708</v>
      </c>
      <c r="I40">
        <f t="shared" si="1"/>
        <v>0.29226128416654068</v>
      </c>
    </row>
    <row r="41" spans="1:9" x14ac:dyDescent="0.2">
      <c r="A41" t="s">
        <v>81</v>
      </c>
      <c r="B41" t="s">
        <v>142</v>
      </c>
      <c r="C41">
        <v>0.375</v>
      </c>
      <c r="D41">
        <v>0.5</v>
      </c>
      <c r="E41">
        <v>0.375</v>
      </c>
      <c r="F41">
        <v>0.3125</v>
      </c>
      <c r="G41">
        <v>0.25</v>
      </c>
      <c r="H41">
        <f t="shared" si="0"/>
        <v>0.36249999999999999</v>
      </c>
      <c r="I41">
        <f t="shared" si="1"/>
        <v>9.2702481088695846E-2</v>
      </c>
    </row>
    <row r="42" spans="1:9" x14ac:dyDescent="0.2">
      <c r="A42" t="s">
        <v>83</v>
      </c>
      <c r="B42" t="s">
        <v>143</v>
      </c>
      <c r="C42">
        <v>0</v>
      </c>
      <c r="D42">
        <v>0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0</v>
      </c>
    </row>
    <row r="43" spans="1:9" x14ac:dyDescent="0.2">
      <c r="A43" t="s">
        <v>85</v>
      </c>
      <c r="B43" t="s">
        <v>144</v>
      </c>
      <c r="C43">
        <v>0.25</v>
      </c>
      <c r="D43">
        <v>0.16666667163372001</v>
      </c>
      <c r="E43">
        <v>0.33333334326744002</v>
      </c>
      <c r="F43">
        <v>0.25</v>
      </c>
      <c r="G43">
        <v>0.25</v>
      </c>
      <c r="H43">
        <f t="shared" si="0"/>
        <v>0.25000000298023201</v>
      </c>
      <c r="I43">
        <f t="shared" si="1"/>
        <v>5.8925566854997648E-2</v>
      </c>
    </row>
    <row r="44" spans="1:9" x14ac:dyDescent="0.2">
      <c r="A44" t="s">
        <v>86</v>
      </c>
      <c r="B44" t="s">
        <v>71</v>
      </c>
      <c r="C44">
        <v>0.625</v>
      </c>
      <c r="D44">
        <v>0.375</v>
      </c>
      <c r="E44">
        <v>0.25</v>
      </c>
      <c r="F44">
        <v>0.375</v>
      </c>
      <c r="G44">
        <v>0.25</v>
      </c>
      <c r="H44">
        <f t="shared" si="0"/>
        <v>0.375</v>
      </c>
      <c r="I44">
        <f t="shared" si="1"/>
        <v>0.15309310892394862</v>
      </c>
    </row>
    <row r="45" spans="1:9" x14ac:dyDescent="0.2">
      <c r="A45" t="s">
        <v>88</v>
      </c>
      <c r="B45" t="s">
        <v>145</v>
      </c>
      <c r="C45">
        <v>0.33333334326744002</v>
      </c>
      <c r="D45">
        <v>0.33333334326744002</v>
      </c>
      <c r="E45">
        <v>0.55555558204650801</v>
      </c>
      <c r="F45">
        <v>0.55555558204650801</v>
      </c>
      <c r="G45">
        <v>0.55555558204650801</v>
      </c>
      <c r="H45">
        <f t="shared" si="0"/>
        <v>0.4666666865348808</v>
      </c>
      <c r="I45">
        <f t="shared" si="1"/>
        <v>0.1217161329585951</v>
      </c>
    </row>
    <row r="46" spans="1:9" x14ac:dyDescent="0.2">
      <c r="A46" t="s">
        <v>89</v>
      </c>
      <c r="B46" t="s">
        <v>146</v>
      </c>
      <c r="C46">
        <v>0.5</v>
      </c>
      <c r="D46">
        <v>0.5</v>
      </c>
      <c r="E46">
        <v>8.3333335816860199E-2</v>
      </c>
      <c r="F46">
        <v>0.5</v>
      </c>
      <c r="G46">
        <v>0.25</v>
      </c>
      <c r="H46">
        <f t="shared" si="0"/>
        <v>0.36666666716337204</v>
      </c>
      <c r="I46">
        <f t="shared" si="1"/>
        <v>0.1918477396367301</v>
      </c>
    </row>
    <row r="47" spans="1:9" x14ac:dyDescent="0.2">
      <c r="A47" t="s">
        <v>90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0</v>
      </c>
      <c r="H47">
        <f t="shared" si="0"/>
        <v>0</v>
      </c>
      <c r="I47">
        <f t="shared" si="1"/>
        <v>0</v>
      </c>
    </row>
    <row r="48" spans="1:9" x14ac:dyDescent="0.2">
      <c r="A48" t="s">
        <v>92</v>
      </c>
      <c r="B48" t="s">
        <v>73</v>
      </c>
      <c r="C48">
        <v>0</v>
      </c>
      <c r="D48">
        <v>0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0</v>
      </c>
    </row>
    <row r="49" spans="1:9" x14ac:dyDescent="0.2">
      <c r="A49" t="s">
        <v>93</v>
      </c>
      <c r="B49" t="s">
        <v>147</v>
      </c>
      <c r="C49">
        <v>0.80000001192092896</v>
      </c>
      <c r="D49">
        <v>0.80000001192092896</v>
      </c>
      <c r="E49">
        <v>0.60000002384185702</v>
      </c>
      <c r="F49">
        <v>0.60000002384185702</v>
      </c>
      <c r="G49">
        <v>0.40000000596046398</v>
      </c>
      <c r="H49">
        <f t="shared" si="0"/>
        <v>0.6400000154972072</v>
      </c>
      <c r="I49">
        <f t="shared" si="1"/>
        <v>0.1673320060192274</v>
      </c>
    </row>
    <row r="50" spans="1:9" x14ac:dyDescent="0.2">
      <c r="A50" t="s">
        <v>94</v>
      </c>
      <c r="B50" t="s">
        <v>84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77</v>
      </c>
      <c r="H51" t="e">
        <f t="shared" si="0"/>
        <v>#DIV/0!</v>
      </c>
      <c r="I51" t="e">
        <f t="shared" si="1"/>
        <v>#DIV/0!</v>
      </c>
    </row>
    <row r="52" spans="1:9" x14ac:dyDescent="0.2">
      <c r="A52" t="s">
        <v>98</v>
      </c>
      <c r="B52" t="s">
        <v>77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87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148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99</v>
      </c>
      <c r="H55" t="e">
        <f t="shared" si="0"/>
        <v>#DIV/0!</v>
      </c>
      <c r="I55" t="e">
        <f t="shared" si="1"/>
        <v>#DIV/0!</v>
      </c>
    </row>
    <row r="56" spans="1:9" x14ac:dyDescent="0.2">
      <c r="A56" t="s">
        <v>104</v>
      </c>
      <c r="B56" t="s">
        <v>91</v>
      </c>
      <c r="H56" t="e">
        <f t="shared" si="0"/>
        <v>#DIV/0!</v>
      </c>
      <c r="I56" t="e">
        <f t="shared" si="1"/>
        <v>#DIV/0!</v>
      </c>
    </row>
    <row r="57" spans="1:9" x14ac:dyDescent="0.2">
      <c r="A57" t="s">
        <v>106</v>
      </c>
      <c r="B57" t="s">
        <v>91</v>
      </c>
      <c r="H57" t="e">
        <f t="shared" si="0"/>
        <v>#DIV/0!</v>
      </c>
      <c r="I57" t="e">
        <f t="shared" si="1"/>
        <v>#DIV/0!</v>
      </c>
    </row>
    <row r="58" spans="1:9" x14ac:dyDescent="0.2">
      <c r="A58" t="s">
        <v>149</v>
      </c>
      <c r="B58" t="s">
        <v>82</v>
      </c>
      <c r="H58" t="e">
        <f t="shared" si="0"/>
        <v>#DIV/0!</v>
      </c>
      <c r="I58" t="e">
        <f t="shared" si="1"/>
        <v>#DIV/0!</v>
      </c>
    </row>
    <row r="59" spans="1:9" x14ac:dyDescent="0.2">
      <c r="A59" t="s">
        <v>150</v>
      </c>
      <c r="B59" t="s">
        <v>151</v>
      </c>
      <c r="H59" t="e">
        <f t="shared" si="0"/>
        <v>#DIV/0!</v>
      </c>
      <c r="I59" t="e">
        <f t="shared" si="1"/>
        <v>#DIV/0!</v>
      </c>
    </row>
    <row r="60" spans="1:9" x14ac:dyDescent="0.2">
      <c r="A60" t="s">
        <v>152</v>
      </c>
      <c r="B60" t="s">
        <v>95</v>
      </c>
      <c r="H60" t="e">
        <f t="shared" si="0"/>
        <v>#DIV/0!</v>
      </c>
      <c r="I60" t="e">
        <f t="shared" si="1"/>
        <v>#DIV/0!</v>
      </c>
    </row>
    <row r="61" spans="1:9" x14ac:dyDescent="0.2">
      <c r="A61" t="s">
        <v>107</v>
      </c>
      <c r="B61" t="s">
        <v>91</v>
      </c>
      <c r="H61" t="e">
        <f t="shared" si="0"/>
        <v>#DIV/0!</v>
      </c>
      <c r="I61" t="e">
        <f t="shared" si="1"/>
        <v>#DIV/0!</v>
      </c>
    </row>
    <row r="62" spans="1:9" x14ac:dyDescent="0.2">
      <c r="A62" t="s">
        <v>153</v>
      </c>
      <c r="B62" t="s">
        <v>105</v>
      </c>
      <c r="H62" t="e">
        <f t="shared" si="0"/>
        <v>#DIV/0!</v>
      </c>
      <c r="I62" t="e">
        <f t="shared" si="1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52C4-204F-4A4F-AAAC-73836713BF7D}">
  <dimension ref="A1:M55"/>
  <sheetViews>
    <sheetView workbookViewId="0">
      <selection activeCell="L42" sqref="L42"/>
    </sheetView>
  </sheetViews>
  <sheetFormatPr baseColWidth="10" defaultRowHeight="16" x14ac:dyDescent="0.2"/>
  <cols>
    <col min="1" max="1" width="6.5" bestFit="1" customWidth="1"/>
    <col min="2" max="2" width="13.83203125" bestFit="1" customWidth="1"/>
    <col min="3" max="7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154</v>
      </c>
      <c r="C2">
        <v>0.93246996402740401</v>
      </c>
      <c r="D2">
        <v>0.92857241630554199</v>
      </c>
      <c r="E2">
        <v>0.94480830430984497</v>
      </c>
      <c r="F2">
        <v>0.95041435956954901</v>
      </c>
      <c r="G2">
        <v>0.93875360488891602</v>
      </c>
      <c r="H2">
        <f>AVERAGE(C2:G2)</f>
        <v>0.93900372982025115</v>
      </c>
      <c r="I2">
        <f>STDEV(C2:G2)</f>
        <v>8.880604087560898E-3</v>
      </c>
      <c r="K2" s="1">
        <v>0</v>
      </c>
      <c r="L2" s="1">
        <f>AVERAGE(H2:H4)</f>
        <v>0.89941258827845216</v>
      </c>
      <c r="M2" s="1">
        <f>AVERAGE(I2:I4)</f>
        <v>3.550651996414577E-2</v>
      </c>
    </row>
    <row r="3" spans="1:13" x14ac:dyDescent="0.2">
      <c r="A3" t="s">
        <v>9</v>
      </c>
      <c r="B3" t="s">
        <v>154</v>
      </c>
      <c r="C3">
        <v>0.854336738586425</v>
      </c>
      <c r="D3">
        <v>0.93401163816452004</v>
      </c>
      <c r="E3">
        <v>0.89235287904739302</v>
      </c>
      <c r="F3">
        <v>0.92818140983581499</v>
      </c>
      <c r="G3">
        <v>0.92666137218475297</v>
      </c>
      <c r="H3">
        <f t="shared" ref="H3:H55" si="0">AVERAGE(C3:G3)</f>
        <v>0.90710880756378121</v>
      </c>
      <c r="I3">
        <f t="shared" ref="I3:I55" si="1">STDEV(C3:G3)</f>
        <v>3.373702837623762E-2</v>
      </c>
      <c r="K3" s="1">
        <v>0.05</v>
      </c>
      <c r="L3" s="1">
        <f>AVERAGE(H5:H7)</f>
        <v>0.89514228900273596</v>
      </c>
      <c r="M3" s="1">
        <f>AVERAGE(I5:I7)</f>
        <v>3.135675500886706E-2</v>
      </c>
    </row>
    <row r="4" spans="1:13" x14ac:dyDescent="0.2">
      <c r="A4" t="s">
        <v>10</v>
      </c>
      <c r="B4" t="s">
        <v>154</v>
      </c>
      <c r="C4">
        <v>0.79469621181488004</v>
      </c>
      <c r="D4">
        <v>0.77961885929107599</v>
      </c>
      <c r="E4">
        <v>0.85791110992431596</v>
      </c>
      <c r="F4">
        <v>0.91858941316604603</v>
      </c>
      <c r="G4">
        <v>0.90981054306030196</v>
      </c>
      <c r="H4">
        <f t="shared" si="0"/>
        <v>0.85212522745132413</v>
      </c>
      <c r="I4">
        <f t="shared" si="1"/>
        <v>6.3901927428638802E-2</v>
      </c>
      <c r="K4" s="1">
        <v>0.1</v>
      </c>
      <c r="L4" s="1">
        <f>AVERAGE(H8:H10)</f>
        <v>0.67739604711532542</v>
      </c>
      <c r="M4" s="1">
        <f>AVERAGE(I8:I10)</f>
        <v>8.7918115486176784E-2</v>
      </c>
    </row>
    <row r="5" spans="1:13" x14ac:dyDescent="0.2">
      <c r="A5" t="s">
        <v>11</v>
      </c>
      <c r="B5" t="s">
        <v>155</v>
      </c>
      <c r="C5">
        <v>0.865314960479736</v>
      </c>
      <c r="D5">
        <v>0.864732146263122</v>
      </c>
      <c r="E5">
        <v>0.87253224849700906</v>
      </c>
      <c r="F5">
        <v>0.86418652534484797</v>
      </c>
      <c r="G5">
        <v>0.89630460739135698</v>
      </c>
      <c r="H5">
        <f t="shared" si="0"/>
        <v>0.87261409759521447</v>
      </c>
      <c r="I5">
        <f t="shared" si="1"/>
        <v>1.3671809382294451E-2</v>
      </c>
      <c r="K5" s="1">
        <v>0.15</v>
      </c>
      <c r="L5" s="1">
        <f>AVERAGE(H11:H13)</f>
        <v>0.65673633416493671</v>
      </c>
      <c r="M5" s="1">
        <f>AVERAGE(I11:I13)</f>
        <v>5.6007172207716359E-2</v>
      </c>
    </row>
    <row r="6" spans="1:13" x14ac:dyDescent="0.2">
      <c r="A6" t="s">
        <v>13</v>
      </c>
      <c r="B6" t="s">
        <v>156</v>
      </c>
      <c r="C6">
        <v>0.94487535953521695</v>
      </c>
      <c r="D6">
        <v>0.88417309522628695</v>
      </c>
      <c r="E6">
        <v>0.94292998313903797</v>
      </c>
      <c r="F6">
        <v>0.82946711778640703</v>
      </c>
      <c r="G6">
        <v>0.95595693588256803</v>
      </c>
      <c r="H6">
        <f t="shared" si="0"/>
        <v>0.91148049831390343</v>
      </c>
      <c r="I6">
        <f t="shared" si="1"/>
        <v>5.3745532836445974E-2</v>
      </c>
      <c r="K6" s="1">
        <v>0.2</v>
      </c>
      <c r="L6" s="1">
        <f>AVERAGE(H14:H16)</f>
        <v>0.49253342151641794</v>
      </c>
      <c r="M6" s="1">
        <f>AVERAGE(I14:I16)</f>
        <v>0.15881355091942947</v>
      </c>
    </row>
    <row r="7" spans="1:13" x14ac:dyDescent="0.2">
      <c r="A7" t="s">
        <v>15</v>
      </c>
      <c r="B7" t="s">
        <v>157</v>
      </c>
      <c r="C7">
        <v>0.92661595344543402</v>
      </c>
      <c r="D7">
        <v>0.85750842094421298</v>
      </c>
      <c r="E7">
        <v>0.91755414009094205</v>
      </c>
      <c r="F7">
        <v>0.89967340230941695</v>
      </c>
      <c r="G7">
        <v>0.905309438705444</v>
      </c>
      <c r="H7">
        <f t="shared" si="0"/>
        <v>0.90133227109909009</v>
      </c>
      <c r="I7">
        <f t="shared" si="1"/>
        <v>2.665292280786076E-2</v>
      </c>
      <c r="K7" s="1">
        <v>0.25</v>
      </c>
      <c r="L7" s="1">
        <f>AVERAGE(H17:H19)</f>
        <v>0.5538888871669766</v>
      </c>
      <c r="M7" s="1">
        <f>AVERAGE(I17:I19)</f>
        <v>6.5348352402119628E-2</v>
      </c>
    </row>
    <row r="8" spans="1:13" x14ac:dyDescent="0.2">
      <c r="A8" t="s">
        <v>17</v>
      </c>
      <c r="B8" t="s">
        <v>158</v>
      </c>
      <c r="C8">
        <v>0.65641027688980103</v>
      </c>
      <c r="D8">
        <v>0.602747201919555</v>
      </c>
      <c r="E8">
        <v>0.58343321084976196</v>
      </c>
      <c r="F8">
        <v>0.55902433395385698</v>
      </c>
      <c r="G8">
        <v>0.54748582839965798</v>
      </c>
      <c r="H8">
        <f t="shared" si="0"/>
        <v>0.58982017040252666</v>
      </c>
      <c r="I8">
        <f t="shared" si="1"/>
        <v>4.2961388867058574E-2</v>
      </c>
      <c r="K8" s="1">
        <v>0.3</v>
      </c>
      <c r="L8" s="1">
        <f>AVERAGE(H20:H22)</f>
        <v>0.22681159178415902</v>
      </c>
      <c r="M8" s="1">
        <f>AVERAGE(I20:I22)</f>
        <v>5.1263755788945792E-2</v>
      </c>
    </row>
    <row r="9" spans="1:13" x14ac:dyDescent="0.2">
      <c r="A9" t="s">
        <v>19</v>
      </c>
      <c r="B9" t="s">
        <v>20</v>
      </c>
      <c r="C9">
        <v>0.42170327901840199</v>
      </c>
      <c r="D9">
        <v>0.89468872547149603</v>
      </c>
      <c r="E9">
        <v>0.50137364864349299</v>
      </c>
      <c r="F9">
        <v>0.45970696210861201</v>
      </c>
      <c r="G9">
        <v>0.65476191043853704</v>
      </c>
      <c r="H9">
        <f t="shared" si="0"/>
        <v>0.58644690513610809</v>
      </c>
      <c r="I9">
        <f t="shared" si="1"/>
        <v>0.19372718848191278</v>
      </c>
      <c r="K9" s="1">
        <v>0.35</v>
      </c>
      <c r="L9" s="1">
        <f>AVERAGE(H23:H25)</f>
        <v>0.27192982981602315</v>
      </c>
      <c r="M9" s="1">
        <f>AVERAGE(I23:I25)</f>
        <v>4.6848655648196881E-2</v>
      </c>
    </row>
    <row r="10" spans="1:13" x14ac:dyDescent="0.2">
      <c r="A10" t="s">
        <v>21</v>
      </c>
      <c r="B10" t="s">
        <v>159</v>
      </c>
      <c r="C10">
        <v>0.884868383407592</v>
      </c>
      <c r="D10">
        <v>0.875</v>
      </c>
      <c r="E10">
        <v>0.865131616592407</v>
      </c>
      <c r="F10">
        <v>0.82565790414810103</v>
      </c>
      <c r="G10">
        <v>0.82894742488860995</v>
      </c>
      <c r="H10">
        <f t="shared" si="0"/>
        <v>0.85592106580734195</v>
      </c>
      <c r="I10">
        <f t="shared" si="1"/>
        <v>2.7065769109558976E-2</v>
      </c>
      <c r="K10" s="1">
        <v>0.4</v>
      </c>
      <c r="L10" s="1">
        <f>AVERAGE(H26:H28)</f>
        <v>0.34166665573914812</v>
      </c>
      <c r="M10" s="1">
        <f>AVERAGE(I26:I28)</f>
        <v>0.10413831723684147</v>
      </c>
    </row>
    <row r="11" spans="1:13" x14ac:dyDescent="0.2">
      <c r="A11" t="s">
        <v>23</v>
      </c>
      <c r="B11" t="s">
        <v>160</v>
      </c>
      <c r="C11">
        <v>0.55163395404815596</v>
      </c>
      <c r="D11">
        <v>0.662173151969909</v>
      </c>
      <c r="E11">
        <v>0.56066989898681596</v>
      </c>
      <c r="F11">
        <v>0.56277775764465299</v>
      </c>
      <c r="G11">
        <v>0.60718953609466497</v>
      </c>
      <c r="H11">
        <f t="shared" si="0"/>
        <v>0.58888885974883975</v>
      </c>
      <c r="I11">
        <f t="shared" si="1"/>
        <v>4.6291277902560823E-2</v>
      </c>
      <c r="K11" s="1">
        <v>0.45</v>
      </c>
      <c r="L11" s="1">
        <f>AVERAGE(H29:H31)</f>
        <v>0.31168831388155599</v>
      </c>
      <c r="M11" s="1">
        <f>AVERAGE(I29:I31)</f>
        <v>4.1375569220787883E-17</v>
      </c>
    </row>
    <row r="12" spans="1:13" x14ac:dyDescent="0.2">
      <c r="A12" t="s">
        <v>25</v>
      </c>
      <c r="B12" t="s">
        <v>161</v>
      </c>
      <c r="C12">
        <v>0.68650662899017301</v>
      </c>
      <c r="D12">
        <v>0.65643227100372303</v>
      </c>
      <c r="E12">
        <v>0.68056035041809004</v>
      </c>
      <c r="F12">
        <v>0.62498569488525302</v>
      </c>
      <c r="G12">
        <v>0.66552317142486495</v>
      </c>
      <c r="H12">
        <f t="shared" si="0"/>
        <v>0.66280162334442072</v>
      </c>
      <c r="I12">
        <f t="shared" si="1"/>
        <v>2.4265817513352165E-2</v>
      </c>
      <c r="K12" s="1">
        <v>0.5</v>
      </c>
      <c r="L12" s="1">
        <f>AVERAGE(H32:H34)</f>
        <v>0.33333333333333331</v>
      </c>
      <c r="M12" s="1">
        <f>AVERAGE(I32:I34)</f>
        <v>0</v>
      </c>
    </row>
    <row r="13" spans="1:13" x14ac:dyDescent="0.2">
      <c r="A13" t="s">
        <v>27</v>
      </c>
      <c r="B13" t="s">
        <v>162</v>
      </c>
      <c r="C13">
        <v>0.77777779102325395</v>
      </c>
      <c r="D13">
        <v>0.75925928354263295</v>
      </c>
      <c r="E13">
        <v>0.70370364189147905</v>
      </c>
      <c r="F13">
        <v>0.79629629850387496</v>
      </c>
      <c r="G13">
        <v>0.55555558204650801</v>
      </c>
      <c r="H13">
        <f t="shared" si="0"/>
        <v>0.71851851940154976</v>
      </c>
      <c r="I13">
        <f t="shared" si="1"/>
        <v>9.7464421207236099E-2</v>
      </c>
      <c r="K13" s="1">
        <v>0.55000000000000004</v>
      </c>
      <c r="L13" s="1">
        <f>AVERAGE(H35:H37)</f>
        <v>0</v>
      </c>
      <c r="M13" s="1">
        <f>AVERAGE(I35:I37)</f>
        <v>0</v>
      </c>
    </row>
    <row r="14" spans="1:13" x14ac:dyDescent="0.2">
      <c r="A14" t="s">
        <v>29</v>
      </c>
      <c r="B14" t="s">
        <v>163</v>
      </c>
      <c r="C14">
        <v>0.70614039897918701</v>
      </c>
      <c r="D14">
        <v>0.399122804403305</v>
      </c>
      <c r="E14">
        <v>0.75</v>
      </c>
      <c r="F14">
        <v>0.38596487045288003</v>
      </c>
      <c r="G14">
        <v>0.77631580829620295</v>
      </c>
      <c r="H14">
        <f t="shared" si="0"/>
        <v>0.60350877642631495</v>
      </c>
      <c r="I14">
        <f t="shared" si="1"/>
        <v>0.1942641084848156</v>
      </c>
      <c r="K14" s="1">
        <v>0.6</v>
      </c>
      <c r="L14" s="1">
        <f>AVERAGE(H38:H40)</f>
        <v>7.4999999999999997E-2</v>
      </c>
      <c r="M14" s="1">
        <f>AVERAGE(I38:I40)</f>
        <v>1.8633899812498255E-2</v>
      </c>
    </row>
    <row r="15" spans="1:13" x14ac:dyDescent="0.2">
      <c r="A15" t="s">
        <v>31</v>
      </c>
      <c r="B15" t="s">
        <v>34</v>
      </c>
      <c r="C15">
        <v>0.40945947170257502</v>
      </c>
      <c r="D15">
        <v>0.17786358296871099</v>
      </c>
      <c r="E15">
        <v>0.62676966190338101</v>
      </c>
      <c r="F15">
        <v>0.20289574563503199</v>
      </c>
      <c r="G15">
        <v>0.19491633772850001</v>
      </c>
      <c r="H15">
        <f t="shared" si="0"/>
        <v>0.32238095998763983</v>
      </c>
      <c r="I15">
        <f t="shared" si="1"/>
        <v>0.194707708946913</v>
      </c>
      <c r="K15" s="1">
        <v>0.65</v>
      </c>
      <c r="L15" s="1">
        <f>AVERAGE(H41:H43)</f>
        <v>0</v>
      </c>
      <c r="M15" s="1">
        <f>AVERAGE(I41:I43)</f>
        <v>0</v>
      </c>
    </row>
    <row r="16" spans="1:13" x14ac:dyDescent="0.2">
      <c r="A16" t="s">
        <v>33</v>
      </c>
      <c r="B16" t="s">
        <v>164</v>
      </c>
      <c r="C16">
        <v>0.46995615959167403</v>
      </c>
      <c r="D16">
        <v>0.63267540931701605</v>
      </c>
      <c r="E16">
        <v>0.653947353363037</v>
      </c>
      <c r="F16">
        <v>0.53070175647735596</v>
      </c>
      <c r="G16">
        <v>0.471271961927413</v>
      </c>
      <c r="H16">
        <f t="shared" si="0"/>
        <v>0.55171052813529919</v>
      </c>
      <c r="I16">
        <f t="shared" si="1"/>
        <v>8.7468835326559871E-2</v>
      </c>
      <c r="K16" s="1">
        <v>0.7</v>
      </c>
      <c r="L16" s="1">
        <f>AVERAGE(H44:H46)</f>
        <v>0.5</v>
      </c>
      <c r="M16" s="1">
        <f>AVERAGE(I44:I46)</f>
        <v>0</v>
      </c>
    </row>
    <row r="17" spans="1:13" x14ac:dyDescent="0.2">
      <c r="A17" t="s">
        <v>35</v>
      </c>
      <c r="B17" t="s">
        <v>165</v>
      </c>
      <c r="C17">
        <v>1</v>
      </c>
      <c r="D17">
        <v>1</v>
      </c>
      <c r="E17">
        <v>1</v>
      </c>
      <c r="F17">
        <v>1</v>
      </c>
      <c r="G17">
        <v>1</v>
      </c>
      <c r="H17">
        <f t="shared" si="0"/>
        <v>1</v>
      </c>
      <c r="I17">
        <f t="shared" si="1"/>
        <v>0</v>
      </c>
      <c r="K17" s="1">
        <v>0.75</v>
      </c>
      <c r="L17" s="1">
        <f>AVERAGE(H47:H49)</f>
        <v>0.33333333333333331</v>
      </c>
      <c r="M17" s="1">
        <f>AVERAGE(I47:I49)</f>
        <v>0</v>
      </c>
    </row>
    <row r="18" spans="1:13" x14ac:dyDescent="0.2">
      <c r="A18" t="s">
        <v>37</v>
      </c>
      <c r="B18" t="s">
        <v>123</v>
      </c>
      <c r="C18">
        <v>0.29731184244155801</v>
      </c>
      <c r="D18">
        <v>0.34623652696609403</v>
      </c>
      <c r="E18">
        <v>0.29731184244155801</v>
      </c>
      <c r="F18">
        <v>0.337903201580047</v>
      </c>
      <c r="G18">
        <v>0.32956987619400002</v>
      </c>
      <c r="H18">
        <f t="shared" si="0"/>
        <v>0.32166665792465138</v>
      </c>
      <c r="I18">
        <f t="shared" si="1"/>
        <v>2.3000427974448786E-2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166</v>
      </c>
      <c r="C19">
        <v>5.00000119209289E-2</v>
      </c>
      <c r="D19">
        <v>0.483333349227905</v>
      </c>
      <c r="E19">
        <v>0.41666665673255898</v>
      </c>
      <c r="F19">
        <v>0.43333333730697599</v>
      </c>
      <c r="G19">
        <v>0.31666666269302302</v>
      </c>
      <c r="H19">
        <f t="shared" si="0"/>
        <v>0.34000000357627835</v>
      </c>
      <c r="I19">
        <f t="shared" si="1"/>
        <v>0.17304462923191011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38</v>
      </c>
      <c r="C20">
        <v>0.26086956262588501</v>
      </c>
      <c r="D20">
        <v>0.30434781312942499</v>
      </c>
      <c r="E20">
        <v>0.26086956262588501</v>
      </c>
      <c r="F20">
        <v>0.17391306161880399</v>
      </c>
      <c r="G20">
        <v>0.26086956262588501</v>
      </c>
      <c r="H20">
        <f t="shared" si="0"/>
        <v>0.25217391252517685</v>
      </c>
      <c r="I20">
        <f t="shared" si="1"/>
        <v>4.7628037123298717E-2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167</v>
      </c>
      <c r="C21">
        <v>0.184782609343528</v>
      </c>
      <c r="D21">
        <v>0.184782609343528</v>
      </c>
      <c r="E21">
        <v>0.108695641160011</v>
      </c>
      <c r="F21">
        <v>0.184782609343528</v>
      </c>
      <c r="G21">
        <v>0.108695641160011</v>
      </c>
      <c r="H21">
        <f t="shared" si="0"/>
        <v>0.15434782207012118</v>
      </c>
      <c r="I21">
        <f t="shared" si="1"/>
        <v>4.1674548806290138E-2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168</v>
      </c>
      <c r="C22">
        <v>0.28260868787765497</v>
      </c>
      <c r="D22">
        <v>0.26086956262588501</v>
      </c>
      <c r="E22">
        <v>0.30434781312942499</v>
      </c>
      <c r="F22">
        <v>0.34782609343528698</v>
      </c>
      <c r="G22">
        <v>0.17391304671764299</v>
      </c>
      <c r="H22">
        <f t="shared" si="0"/>
        <v>0.27391304075717904</v>
      </c>
      <c r="I22">
        <f t="shared" si="1"/>
        <v>6.4488681437248521E-2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42</v>
      </c>
      <c r="C23">
        <v>0.73684215545654297</v>
      </c>
      <c r="D23">
        <v>0.63157892227172796</v>
      </c>
      <c r="E23">
        <v>0.68421053886413497</v>
      </c>
      <c r="F23">
        <v>0.52631580829620295</v>
      </c>
      <c r="G23">
        <v>0.68421053886413497</v>
      </c>
      <c r="H23">
        <f t="shared" si="0"/>
        <v>0.65263159275054883</v>
      </c>
      <c r="I23">
        <f t="shared" si="1"/>
        <v>7.9819751445297113E-2</v>
      </c>
    </row>
    <row r="24" spans="1:13" x14ac:dyDescent="0.2">
      <c r="A24" t="s">
        <v>49</v>
      </c>
      <c r="B24" t="s">
        <v>169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si="0"/>
        <v>0</v>
      </c>
      <c r="I24">
        <f t="shared" si="1"/>
        <v>0</v>
      </c>
    </row>
    <row r="25" spans="1:13" x14ac:dyDescent="0.2">
      <c r="A25" t="s">
        <v>51</v>
      </c>
      <c r="B25" t="s">
        <v>42</v>
      </c>
      <c r="C25">
        <v>0.26315790414810097</v>
      </c>
      <c r="D25">
        <v>0.14473684132099099</v>
      </c>
      <c r="E25">
        <v>0.13157895207404999</v>
      </c>
      <c r="F25">
        <v>0.17105261981487199</v>
      </c>
      <c r="G25">
        <v>0.105263166129589</v>
      </c>
      <c r="H25">
        <f t="shared" si="0"/>
        <v>0.16315789669752059</v>
      </c>
      <c r="I25">
        <f t="shared" si="1"/>
        <v>6.072621549929353E-2</v>
      </c>
    </row>
    <row r="26" spans="1:13" x14ac:dyDescent="0.2">
      <c r="A26" t="s">
        <v>53</v>
      </c>
      <c r="B26" t="s">
        <v>170</v>
      </c>
      <c r="C26">
        <v>0.233333319425582</v>
      </c>
      <c r="D26">
        <v>0.133333325386047</v>
      </c>
      <c r="E26">
        <v>0.233333319425582</v>
      </c>
      <c r="F26">
        <v>0.266666650772094</v>
      </c>
      <c r="G26">
        <v>0.233333319425582</v>
      </c>
      <c r="H26">
        <f t="shared" si="0"/>
        <v>0.21999998688697739</v>
      </c>
      <c r="I26">
        <f t="shared" si="1"/>
        <v>5.0552499947179384E-2</v>
      </c>
    </row>
    <row r="27" spans="1:13" x14ac:dyDescent="0.2">
      <c r="A27" t="s">
        <v>55</v>
      </c>
      <c r="B27" t="s">
        <v>171</v>
      </c>
      <c r="C27">
        <v>0.5</v>
      </c>
      <c r="D27">
        <v>0.5</v>
      </c>
      <c r="E27">
        <v>0.3125</v>
      </c>
      <c r="F27">
        <v>0.5</v>
      </c>
      <c r="G27">
        <v>0.3125</v>
      </c>
      <c r="H27">
        <f t="shared" si="0"/>
        <v>0.42499999999999999</v>
      </c>
      <c r="I27">
        <f t="shared" si="1"/>
        <v>0.10269797953221869</v>
      </c>
    </row>
    <row r="28" spans="1:13" x14ac:dyDescent="0.2">
      <c r="A28" t="s">
        <v>57</v>
      </c>
      <c r="B28" t="s">
        <v>172</v>
      </c>
      <c r="C28">
        <v>0.233333334326744</v>
      </c>
      <c r="D28">
        <v>0.39999997615814198</v>
      </c>
      <c r="E28">
        <v>0.53333330154418901</v>
      </c>
      <c r="F28">
        <v>0.53333330154418901</v>
      </c>
      <c r="G28">
        <v>0.19999998807907099</v>
      </c>
      <c r="H28">
        <f t="shared" si="0"/>
        <v>0.379999980330467</v>
      </c>
      <c r="I28">
        <f t="shared" si="1"/>
        <v>0.15916447223112634</v>
      </c>
    </row>
    <row r="29" spans="1:13" x14ac:dyDescent="0.2">
      <c r="A29" t="s">
        <v>59</v>
      </c>
      <c r="B29" t="s">
        <v>135</v>
      </c>
      <c r="C29">
        <v>7.1428567171096802E-2</v>
      </c>
      <c r="D29">
        <v>7.1428567171096802E-2</v>
      </c>
      <c r="E29">
        <v>7.1428567171096802E-2</v>
      </c>
      <c r="F29">
        <v>7.1428567171096802E-2</v>
      </c>
      <c r="G29">
        <v>7.1428567171096802E-2</v>
      </c>
      <c r="H29">
        <f t="shared" si="0"/>
        <v>7.1428567171096802E-2</v>
      </c>
      <c r="I29">
        <f t="shared" si="1"/>
        <v>0</v>
      </c>
    </row>
    <row r="30" spans="1:13" x14ac:dyDescent="0.2">
      <c r="A30" t="s">
        <v>61</v>
      </c>
      <c r="B30" t="s">
        <v>50</v>
      </c>
      <c r="C30">
        <v>0</v>
      </c>
      <c r="D30">
        <v>0</v>
      </c>
      <c r="E30">
        <v>0</v>
      </c>
      <c r="F30">
        <v>0</v>
      </c>
      <c r="G30">
        <v>0</v>
      </c>
      <c r="H30">
        <f t="shared" si="0"/>
        <v>0</v>
      </c>
      <c r="I30">
        <f t="shared" si="1"/>
        <v>0</v>
      </c>
    </row>
    <row r="31" spans="1:13" x14ac:dyDescent="0.2">
      <c r="A31" t="s">
        <v>63</v>
      </c>
      <c r="B31" t="s">
        <v>173</v>
      </c>
      <c r="C31">
        <v>0.863636374473571</v>
      </c>
      <c r="D31">
        <v>0.863636374473571</v>
      </c>
      <c r="E31">
        <v>0.863636374473571</v>
      </c>
      <c r="F31">
        <v>0.863636374473571</v>
      </c>
      <c r="G31">
        <v>0.863636374473571</v>
      </c>
      <c r="H31">
        <f t="shared" si="0"/>
        <v>0.86363637447357111</v>
      </c>
      <c r="I31">
        <f t="shared" si="1"/>
        <v>1.2412670766236366E-16</v>
      </c>
    </row>
    <row r="32" spans="1:13" x14ac:dyDescent="0.2">
      <c r="A32" t="s">
        <v>65</v>
      </c>
      <c r="B32" t="s">
        <v>174</v>
      </c>
      <c r="C32">
        <v>0</v>
      </c>
      <c r="D32">
        <v>0</v>
      </c>
      <c r="E32">
        <v>0</v>
      </c>
      <c r="F32">
        <v>0</v>
      </c>
      <c r="G32">
        <v>0</v>
      </c>
      <c r="H32">
        <f t="shared" si="0"/>
        <v>0</v>
      </c>
      <c r="I32">
        <f t="shared" si="1"/>
        <v>0</v>
      </c>
    </row>
    <row r="33" spans="1:9" x14ac:dyDescent="0.2">
      <c r="A33" t="s">
        <v>67</v>
      </c>
      <c r="B33" t="s">
        <v>175</v>
      </c>
      <c r="C33">
        <v>0</v>
      </c>
      <c r="D33">
        <v>0</v>
      </c>
      <c r="E33">
        <v>0</v>
      </c>
      <c r="F33">
        <v>0</v>
      </c>
      <c r="G33">
        <v>0</v>
      </c>
      <c r="H33">
        <f t="shared" si="0"/>
        <v>0</v>
      </c>
      <c r="I33">
        <f t="shared" si="1"/>
        <v>0</v>
      </c>
    </row>
    <row r="34" spans="1:9" x14ac:dyDescent="0.2">
      <c r="A34" t="s">
        <v>69</v>
      </c>
      <c r="B34" t="s">
        <v>136</v>
      </c>
      <c r="C34">
        <v>1</v>
      </c>
      <c r="D34">
        <v>1</v>
      </c>
      <c r="E34">
        <v>1</v>
      </c>
      <c r="F34">
        <v>1</v>
      </c>
      <c r="G34">
        <v>1</v>
      </c>
      <c r="H34">
        <f t="shared" si="0"/>
        <v>1</v>
      </c>
      <c r="I34">
        <f t="shared" si="1"/>
        <v>0</v>
      </c>
    </row>
    <row r="35" spans="1:9" x14ac:dyDescent="0.2">
      <c r="A35" t="s">
        <v>70</v>
      </c>
      <c r="B35" t="s">
        <v>139</v>
      </c>
      <c r="C35">
        <v>0</v>
      </c>
      <c r="D35">
        <v>0</v>
      </c>
      <c r="E35">
        <v>0</v>
      </c>
      <c r="F35">
        <v>0</v>
      </c>
      <c r="G35">
        <v>0</v>
      </c>
      <c r="H35">
        <f t="shared" si="0"/>
        <v>0</v>
      </c>
      <c r="I35">
        <f t="shared" si="1"/>
        <v>0</v>
      </c>
    </row>
    <row r="36" spans="1:9" x14ac:dyDescent="0.2">
      <c r="A36" t="s">
        <v>72</v>
      </c>
      <c r="B36" t="s">
        <v>54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0"/>
        <v>0</v>
      </c>
      <c r="I36">
        <f t="shared" si="1"/>
        <v>0</v>
      </c>
    </row>
    <row r="37" spans="1:9" x14ac:dyDescent="0.2">
      <c r="A37" t="s">
        <v>74</v>
      </c>
      <c r="B37" t="s">
        <v>140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0</v>
      </c>
    </row>
    <row r="38" spans="1:9" x14ac:dyDescent="0.2">
      <c r="A38" t="s">
        <v>76</v>
      </c>
      <c r="B38" t="s">
        <v>176</v>
      </c>
      <c r="C38">
        <v>0</v>
      </c>
      <c r="D38">
        <v>0</v>
      </c>
      <c r="E38">
        <v>0</v>
      </c>
      <c r="F38">
        <v>0</v>
      </c>
      <c r="G38">
        <v>0</v>
      </c>
      <c r="H38">
        <f t="shared" si="0"/>
        <v>0</v>
      </c>
      <c r="I38">
        <f t="shared" si="1"/>
        <v>0</v>
      </c>
    </row>
    <row r="39" spans="1:9" x14ac:dyDescent="0.2">
      <c r="A39" t="s">
        <v>78</v>
      </c>
      <c r="B39" t="s">
        <v>64</v>
      </c>
      <c r="C39">
        <v>0</v>
      </c>
      <c r="D39">
        <v>0</v>
      </c>
      <c r="E39">
        <v>0</v>
      </c>
      <c r="F39">
        <v>0</v>
      </c>
      <c r="G39">
        <v>0</v>
      </c>
      <c r="H39">
        <f t="shared" si="0"/>
        <v>0</v>
      </c>
      <c r="I39">
        <f t="shared" si="1"/>
        <v>0</v>
      </c>
    </row>
    <row r="40" spans="1:9" x14ac:dyDescent="0.2">
      <c r="A40" t="s">
        <v>79</v>
      </c>
      <c r="B40" t="s">
        <v>62</v>
      </c>
      <c r="C40">
        <v>0.25</v>
      </c>
      <c r="D40">
        <v>0.25</v>
      </c>
      <c r="E40">
        <v>0.25</v>
      </c>
      <c r="F40">
        <v>0.125</v>
      </c>
      <c r="G40">
        <v>0.25</v>
      </c>
      <c r="H40">
        <f t="shared" si="0"/>
        <v>0.22500000000000001</v>
      </c>
      <c r="I40">
        <f t="shared" si="1"/>
        <v>5.5901699437494769E-2</v>
      </c>
    </row>
    <row r="41" spans="1:9" x14ac:dyDescent="0.2">
      <c r="A41" t="s">
        <v>81</v>
      </c>
      <c r="B41" t="s">
        <v>143</v>
      </c>
      <c r="C41">
        <v>0</v>
      </c>
      <c r="D41">
        <v>0</v>
      </c>
      <c r="E41">
        <v>0</v>
      </c>
      <c r="F41">
        <v>0</v>
      </c>
      <c r="G41">
        <v>0</v>
      </c>
      <c r="H41">
        <f t="shared" si="0"/>
        <v>0</v>
      </c>
      <c r="I41">
        <f t="shared" si="1"/>
        <v>0</v>
      </c>
    </row>
    <row r="42" spans="1:9" x14ac:dyDescent="0.2">
      <c r="A42" t="s">
        <v>83</v>
      </c>
      <c r="B42" t="s">
        <v>66</v>
      </c>
      <c r="C42">
        <v>0</v>
      </c>
      <c r="D42">
        <v>0</v>
      </c>
      <c r="E42">
        <v>0</v>
      </c>
      <c r="F42">
        <v>0</v>
      </c>
      <c r="G42">
        <v>0</v>
      </c>
      <c r="H42">
        <f t="shared" si="0"/>
        <v>0</v>
      </c>
      <c r="I42">
        <f t="shared" si="1"/>
        <v>0</v>
      </c>
    </row>
    <row r="43" spans="1:9" x14ac:dyDescent="0.2">
      <c r="A43" t="s">
        <v>85</v>
      </c>
      <c r="B43" t="s">
        <v>143</v>
      </c>
      <c r="C43">
        <v>0</v>
      </c>
      <c r="D43">
        <v>0</v>
      </c>
      <c r="E43">
        <v>0</v>
      </c>
      <c r="F43">
        <v>0</v>
      </c>
      <c r="G43">
        <v>0</v>
      </c>
      <c r="H43">
        <f t="shared" si="0"/>
        <v>0</v>
      </c>
      <c r="I43">
        <f t="shared" si="1"/>
        <v>0</v>
      </c>
    </row>
    <row r="44" spans="1:9" x14ac:dyDescent="0.2">
      <c r="A44" t="s">
        <v>86</v>
      </c>
      <c r="B44" t="s">
        <v>145</v>
      </c>
      <c r="C44">
        <v>0</v>
      </c>
      <c r="D44">
        <v>0</v>
      </c>
      <c r="H44">
        <f t="shared" si="0"/>
        <v>0</v>
      </c>
      <c r="I44">
        <f t="shared" si="1"/>
        <v>0</v>
      </c>
    </row>
    <row r="45" spans="1:9" x14ac:dyDescent="0.2">
      <c r="A45" t="s">
        <v>88</v>
      </c>
      <c r="B45" t="s">
        <v>142</v>
      </c>
      <c r="C45">
        <v>0</v>
      </c>
    </row>
    <row r="46" spans="1:9" x14ac:dyDescent="0.2">
      <c r="A46" t="s">
        <v>89</v>
      </c>
      <c r="B46" t="s">
        <v>146</v>
      </c>
      <c r="C46">
        <v>1</v>
      </c>
      <c r="D46">
        <v>1</v>
      </c>
      <c r="E46">
        <v>1</v>
      </c>
      <c r="F46">
        <v>1</v>
      </c>
      <c r="G46">
        <v>1</v>
      </c>
      <c r="H46">
        <f t="shared" si="0"/>
        <v>1</v>
      </c>
      <c r="I46">
        <f t="shared" si="1"/>
        <v>0</v>
      </c>
    </row>
    <row r="47" spans="1:9" x14ac:dyDescent="0.2">
      <c r="A47" t="s">
        <v>90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f t="shared" si="0"/>
        <v>1</v>
      </c>
      <c r="I47">
        <f t="shared" si="1"/>
        <v>0</v>
      </c>
    </row>
    <row r="48" spans="1:9" x14ac:dyDescent="0.2">
      <c r="A48" t="s">
        <v>92</v>
      </c>
      <c r="B48" t="s">
        <v>177</v>
      </c>
      <c r="C48">
        <v>0</v>
      </c>
      <c r="D48">
        <v>0</v>
      </c>
      <c r="E48">
        <v>0</v>
      </c>
      <c r="F48">
        <v>0</v>
      </c>
      <c r="G48">
        <v>0</v>
      </c>
      <c r="H48">
        <f t="shared" si="0"/>
        <v>0</v>
      </c>
      <c r="I48">
        <f t="shared" si="1"/>
        <v>0</v>
      </c>
    </row>
    <row r="49" spans="1:9" x14ac:dyDescent="0.2">
      <c r="A49" t="s">
        <v>93</v>
      </c>
      <c r="B49" t="s">
        <v>147</v>
      </c>
      <c r="C49">
        <v>0</v>
      </c>
      <c r="D49">
        <v>0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0</v>
      </c>
    </row>
    <row r="50" spans="1:9" x14ac:dyDescent="0.2">
      <c r="A50" t="s">
        <v>94</v>
      </c>
      <c r="B50" t="s">
        <v>75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178</v>
      </c>
      <c r="C51">
        <v>0</v>
      </c>
      <c r="H51">
        <f t="shared" si="0"/>
        <v>0</v>
      </c>
      <c r="I51" t="e">
        <f t="shared" si="1"/>
        <v>#DIV/0!</v>
      </c>
    </row>
    <row r="52" spans="1:9" x14ac:dyDescent="0.2">
      <c r="A52" t="s">
        <v>98</v>
      </c>
      <c r="B52" t="s">
        <v>80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179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180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179</v>
      </c>
      <c r="H55" t="e">
        <f t="shared" si="0"/>
        <v>#DIV/0!</v>
      </c>
      <c r="I55" t="e">
        <f t="shared" si="1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3D59-1889-EA4D-BAA9-C6213D78C8F7}">
  <dimension ref="A1:M64"/>
  <sheetViews>
    <sheetView workbookViewId="0">
      <selection activeCell="L10" sqref="L10"/>
    </sheetView>
  </sheetViews>
  <sheetFormatPr baseColWidth="10" defaultRowHeight="16" x14ac:dyDescent="0.2"/>
  <cols>
    <col min="1" max="1" width="6.5" bestFit="1" customWidth="1"/>
    <col min="2" max="2" width="12.83203125" bestFit="1" customWidth="1"/>
    <col min="3" max="7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181</v>
      </c>
      <c r="C2">
        <v>0.57562118768692005</v>
      </c>
      <c r="D2">
        <v>0.58752149343490601</v>
      </c>
      <c r="E2">
        <v>0.58396416902542103</v>
      </c>
      <c r="F2">
        <v>0.58071571588516202</v>
      </c>
      <c r="G2">
        <v>0.61094909906387296</v>
      </c>
      <c r="H2">
        <f>AVERAGE(C2:G2)</f>
        <v>0.58775433301925639</v>
      </c>
      <c r="I2">
        <f>STDEV(C2:G2)</f>
        <v>1.3685503973663757E-2</v>
      </c>
      <c r="K2" s="1">
        <v>0</v>
      </c>
      <c r="L2" s="1">
        <f>AVERAGE(H2:H4)</f>
        <v>0.60678929487864153</v>
      </c>
      <c r="M2" s="1">
        <f>AVERAGE(I2:I4)</f>
        <v>1.1809631841871492E-2</v>
      </c>
    </row>
    <row r="3" spans="1:13" x14ac:dyDescent="0.2">
      <c r="A3" t="s">
        <v>9</v>
      </c>
      <c r="B3" t="s">
        <v>181</v>
      </c>
      <c r="C3">
        <v>0.621826171875</v>
      </c>
      <c r="D3">
        <v>0.60691869258880604</v>
      </c>
      <c r="E3">
        <v>0.61002755165100098</v>
      </c>
      <c r="F3">
        <v>0.60504680871963501</v>
      </c>
      <c r="G3">
        <v>0.62239307165145796</v>
      </c>
      <c r="H3">
        <f t="shared" ref="H3:H64" si="0">AVERAGE(C3:G3)</f>
        <v>0.61324245929718002</v>
      </c>
      <c r="I3">
        <f t="shared" ref="I3:I64" si="1">STDEV(C3:G3)</f>
        <v>8.2901775165177029E-3</v>
      </c>
      <c r="K3" s="1">
        <v>0.05</v>
      </c>
      <c r="L3" s="1">
        <f>AVERAGE(H5:H7)</f>
        <v>0.55222034454345659</v>
      </c>
      <c r="M3" s="1">
        <f>AVERAGE(I5:I7)</f>
        <v>8.5562615703484446E-3</v>
      </c>
    </row>
    <row r="4" spans="1:13" x14ac:dyDescent="0.2">
      <c r="A4" t="s">
        <v>10</v>
      </c>
      <c r="B4" t="s">
        <v>181</v>
      </c>
      <c r="C4">
        <v>0.61150181293487504</v>
      </c>
      <c r="D4">
        <v>0.61525881290435702</v>
      </c>
      <c r="E4">
        <v>0.62914800643920898</v>
      </c>
      <c r="F4">
        <v>0.637012779712677</v>
      </c>
      <c r="G4">
        <v>0.60393404960632302</v>
      </c>
      <c r="H4">
        <f t="shared" si="0"/>
        <v>0.61937109231948817</v>
      </c>
      <c r="I4">
        <f t="shared" si="1"/>
        <v>1.3453214035433017E-2</v>
      </c>
      <c r="K4" s="1">
        <v>0.1</v>
      </c>
      <c r="L4" s="1">
        <f>AVERAGE(H8:H10)</f>
        <v>0.53940714200337692</v>
      </c>
      <c r="M4" s="1">
        <f>AVERAGE(I8:I10)</f>
        <v>4.0010425843179903E-2</v>
      </c>
    </row>
    <row r="5" spans="1:13" x14ac:dyDescent="0.2">
      <c r="A5" t="s">
        <v>11</v>
      </c>
      <c r="B5" t="s">
        <v>182</v>
      </c>
      <c r="C5">
        <v>0.55498802661895696</v>
      </c>
      <c r="D5">
        <v>0.56674259901046697</v>
      </c>
      <c r="E5">
        <v>0.57411736249923695</v>
      </c>
      <c r="F5">
        <v>0.56446772813796997</v>
      </c>
      <c r="G5">
        <v>0.55185437202453602</v>
      </c>
      <c r="H5">
        <f t="shared" si="0"/>
        <v>0.56243401765823342</v>
      </c>
      <c r="I5">
        <f t="shared" si="1"/>
        <v>9.0356527510413783E-3</v>
      </c>
      <c r="K5" s="1">
        <v>0.15</v>
      </c>
      <c r="L5" s="1">
        <f>AVERAGE(H11:H13)</f>
        <v>0.59440089464187584</v>
      </c>
      <c r="M5" s="1">
        <f>AVERAGE(I11:I13)</f>
        <v>2.8750460418422868E-2</v>
      </c>
    </row>
    <row r="6" spans="1:13" x14ac:dyDescent="0.2">
      <c r="A6" t="s">
        <v>13</v>
      </c>
      <c r="B6" t="s">
        <v>183</v>
      </c>
      <c r="C6">
        <v>0.54013878107070901</v>
      </c>
      <c r="D6">
        <v>0.527943015098571</v>
      </c>
      <c r="E6">
        <v>0.55039185285568204</v>
      </c>
      <c r="F6">
        <v>0.53578448295593195</v>
      </c>
      <c r="G6">
        <v>0.52638077735900801</v>
      </c>
      <c r="H6">
        <f t="shared" si="0"/>
        <v>0.53612778186798038</v>
      </c>
      <c r="I6">
        <f t="shared" si="1"/>
        <v>9.7681138642146687E-3</v>
      </c>
      <c r="K6" s="1">
        <v>0.2</v>
      </c>
      <c r="L6" s="1">
        <f>AVERAGE(H14:H16)</f>
        <v>0.55590799053509976</v>
      </c>
      <c r="M6" s="1">
        <f>AVERAGE(I14:I16)</f>
        <v>2.5841766206863806E-2</v>
      </c>
    </row>
    <row r="7" spans="1:13" x14ac:dyDescent="0.2">
      <c r="A7" t="s">
        <v>15</v>
      </c>
      <c r="B7" t="s">
        <v>184</v>
      </c>
      <c r="C7">
        <v>0.54661798477172796</v>
      </c>
      <c r="D7">
        <v>0.56418460607528598</v>
      </c>
      <c r="E7">
        <v>0.55816435813903797</v>
      </c>
      <c r="F7">
        <v>0.56241542100906305</v>
      </c>
      <c r="G7">
        <v>0.55911380052566495</v>
      </c>
      <c r="H7">
        <f t="shared" si="0"/>
        <v>0.55809923410415607</v>
      </c>
      <c r="I7">
        <f t="shared" si="1"/>
        <v>6.8650180957892885E-3</v>
      </c>
      <c r="K7" s="1">
        <v>0.25</v>
      </c>
      <c r="L7" s="1">
        <f>AVERAGE(H17:H19)</f>
        <v>0.54838732679684909</v>
      </c>
      <c r="M7" s="1">
        <f>AVERAGE(I17:I19)</f>
        <v>2.8193918698925943E-2</v>
      </c>
    </row>
    <row r="8" spans="1:13" x14ac:dyDescent="0.2">
      <c r="A8" t="s">
        <v>17</v>
      </c>
      <c r="B8" t="s">
        <v>185</v>
      </c>
      <c r="C8">
        <v>0.53320622444152799</v>
      </c>
      <c r="D8">
        <v>0.523204565048217</v>
      </c>
      <c r="E8">
        <v>0.51816326379776001</v>
      </c>
      <c r="F8">
        <v>0.53510671854019098</v>
      </c>
      <c r="G8">
        <v>0.53756755590438798</v>
      </c>
      <c r="H8">
        <f t="shared" si="0"/>
        <v>0.52944966554641681</v>
      </c>
      <c r="I8">
        <f t="shared" si="1"/>
        <v>8.3426355523232056E-3</v>
      </c>
      <c r="K8" s="1">
        <v>0.3</v>
      </c>
      <c r="L8" s="1">
        <f>AVERAGE(H20:H22)</f>
        <v>0.53039469917615212</v>
      </c>
      <c r="M8" s="1">
        <f>AVERAGE(I20:I22)</f>
        <v>3.5694633545608055E-2</v>
      </c>
    </row>
    <row r="9" spans="1:13" x14ac:dyDescent="0.2">
      <c r="A9" t="s">
        <v>19</v>
      </c>
      <c r="B9" t="s">
        <v>186</v>
      </c>
      <c r="C9">
        <v>0.56445813179016102</v>
      </c>
      <c r="D9">
        <v>0.56420582532882602</v>
      </c>
      <c r="E9">
        <v>0.50775843858718805</v>
      </c>
      <c r="F9">
        <v>0.563970506191253</v>
      </c>
      <c r="G9">
        <v>0.58069425821304299</v>
      </c>
      <c r="H9">
        <f t="shared" si="0"/>
        <v>0.55621743202209417</v>
      </c>
      <c r="I9">
        <f t="shared" si="1"/>
        <v>2.801438373616813E-2</v>
      </c>
      <c r="K9" s="1">
        <v>0.35</v>
      </c>
      <c r="L9" s="1">
        <f>AVERAGE(H23:H25)</f>
        <v>0.49981612960497479</v>
      </c>
      <c r="M9" s="1">
        <f>AVERAGE(I23:I25)</f>
        <v>3.988005229280614E-2</v>
      </c>
    </row>
    <row r="10" spans="1:13" x14ac:dyDescent="0.2">
      <c r="A10" t="s">
        <v>21</v>
      </c>
      <c r="B10" t="s">
        <v>187</v>
      </c>
      <c r="C10">
        <v>0.61843252182006803</v>
      </c>
      <c r="D10">
        <v>0.51425701379776001</v>
      </c>
      <c r="E10">
        <v>0.45446735620498602</v>
      </c>
      <c r="F10">
        <v>0.62189930677413896</v>
      </c>
      <c r="G10">
        <v>0.45371544361114502</v>
      </c>
      <c r="H10">
        <f t="shared" si="0"/>
        <v>0.53255432844161965</v>
      </c>
      <c r="I10">
        <f t="shared" si="1"/>
        <v>8.3674258241048377E-2</v>
      </c>
      <c r="K10" s="1">
        <v>0.4</v>
      </c>
      <c r="L10" s="1">
        <f>AVERAGE(H26:H28)</f>
        <v>0.54115465879440272</v>
      </c>
      <c r="M10" s="1">
        <f>AVERAGE(I26:I28)</f>
        <v>4.6063494237384227E-2</v>
      </c>
    </row>
    <row r="11" spans="1:13" x14ac:dyDescent="0.2">
      <c r="A11" t="s">
        <v>23</v>
      </c>
      <c r="B11" t="s">
        <v>188</v>
      </c>
      <c r="C11">
        <v>0.56411892175674405</v>
      </c>
      <c r="D11">
        <v>0.56781351566314697</v>
      </c>
      <c r="E11">
        <v>0.58978945016860895</v>
      </c>
      <c r="F11">
        <v>0.53332835435867298</v>
      </c>
      <c r="G11">
        <v>0.621909320354461</v>
      </c>
      <c r="H11">
        <f t="shared" si="0"/>
        <v>0.57539191246032684</v>
      </c>
      <c r="I11">
        <f t="shared" si="1"/>
        <v>3.2882418048405596E-2</v>
      </c>
      <c r="K11" s="1">
        <v>0.45</v>
      </c>
      <c r="L11" s="1">
        <f>AVERAGE(H29:H31)</f>
        <v>0.55728038350741027</v>
      </c>
      <c r="M11" s="1">
        <f>AVERAGE(I29:I31)</f>
        <v>5.5607919857798754E-2</v>
      </c>
    </row>
    <row r="12" spans="1:13" x14ac:dyDescent="0.2">
      <c r="A12" t="s">
        <v>25</v>
      </c>
      <c r="B12" t="s">
        <v>189</v>
      </c>
      <c r="C12">
        <v>0.56521999835967995</v>
      </c>
      <c r="D12">
        <v>0.55701452493667603</v>
      </c>
      <c r="E12">
        <v>0.53759056329727095</v>
      </c>
      <c r="F12">
        <v>0.54920738935470503</v>
      </c>
      <c r="G12">
        <v>0.57784831523895197</v>
      </c>
      <c r="H12">
        <f t="shared" si="0"/>
        <v>0.55737615823745679</v>
      </c>
      <c r="I12">
        <f t="shared" si="1"/>
        <v>1.5321262766152963E-2</v>
      </c>
      <c r="K12" s="1">
        <v>0.5</v>
      </c>
      <c r="L12" s="1">
        <f>AVERAGE(H32:H34)</f>
        <v>0.48408291737238524</v>
      </c>
      <c r="M12" s="1">
        <f>AVERAGE(I32:I34)</f>
        <v>4.25460599571044E-2</v>
      </c>
    </row>
    <row r="13" spans="1:13" x14ac:dyDescent="0.2">
      <c r="A13" t="s">
        <v>27</v>
      </c>
      <c r="B13" t="s">
        <v>190</v>
      </c>
      <c r="C13">
        <v>0.62179654836654596</v>
      </c>
      <c r="D13">
        <v>0.690709829330444</v>
      </c>
      <c r="E13">
        <v>0.65215659141540505</v>
      </c>
      <c r="F13">
        <v>0.68410402536392201</v>
      </c>
      <c r="G13">
        <v>0.60340607166290205</v>
      </c>
      <c r="H13">
        <f t="shared" si="0"/>
        <v>0.65043461322784379</v>
      </c>
      <c r="I13">
        <f t="shared" si="1"/>
        <v>3.8047700440710042E-2</v>
      </c>
      <c r="K13" s="1">
        <v>0.55000000000000004</v>
      </c>
      <c r="L13" s="1">
        <f>AVERAGE(H35:H37)</f>
        <v>0.52700800299644412</v>
      </c>
      <c r="M13" s="1">
        <f>AVERAGE(I35:I37)</f>
        <v>4.1720774932071415E-2</v>
      </c>
    </row>
    <row r="14" spans="1:13" x14ac:dyDescent="0.2">
      <c r="A14" t="s">
        <v>29</v>
      </c>
      <c r="B14" t="s">
        <v>191</v>
      </c>
      <c r="C14">
        <v>0.58187532424926702</v>
      </c>
      <c r="D14">
        <v>0.55759477615356401</v>
      </c>
      <c r="E14">
        <v>0.59971231222152699</v>
      </c>
      <c r="F14">
        <v>0.53899097442626898</v>
      </c>
      <c r="G14">
        <v>0.54767197370529097</v>
      </c>
      <c r="H14">
        <f t="shared" si="0"/>
        <v>0.56516907215118362</v>
      </c>
      <c r="I14">
        <f t="shared" si="1"/>
        <v>2.5105504914769632E-2</v>
      </c>
      <c r="K14" s="1">
        <v>0.6</v>
      </c>
      <c r="L14" s="1">
        <f>AVERAGE(H38:H40)</f>
        <v>0.47150981823603272</v>
      </c>
      <c r="M14" s="1">
        <f>AVERAGE(I38:I40)</f>
        <v>6.6851910837404133E-2</v>
      </c>
    </row>
    <row r="15" spans="1:13" x14ac:dyDescent="0.2">
      <c r="A15" t="s">
        <v>31</v>
      </c>
      <c r="B15" t="s">
        <v>192</v>
      </c>
      <c r="C15">
        <v>0.53171759843826205</v>
      </c>
      <c r="D15">
        <v>0.50448745489120395</v>
      </c>
      <c r="E15">
        <v>0.60200572013854903</v>
      </c>
      <c r="F15">
        <v>0.49623885750770502</v>
      </c>
      <c r="G15">
        <v>0.55623263120651201</v>
      </c>
      <c r="H15">
        <f t="shared" si="0"/>
        <v>0.53813645243644637</v>
      </c>
      <c r="I15">
        <f t="shared" si="1"/>
        <v>4.2824117697109823E-2</v>
      </c>
      <c r="K15" s="1">
        <v>0.65</v>
      </c>
      <c r="L15" s="1">
        <f>AVERAGE(H41:H43)</f>
        <v>0.46478418509165403</v>
      </c>
      <c r="M15" s="1">
        <f>AVERAGE(I41:I43)</f>
        <v>2.6850142818216797E-2</v>
      </c>
    </row>
    <row r="16" spans="1:13" x14ac:dyDescent="0.2">
      <c r="A16" t="s">
        <v>33</v>
      </c>
      <c r="B16" t="s">
        <v>193</v>
      </c>
      <c r="C16">
        <v>0.55946892499923695</v>
      </c>
      <c r="D16">
        <v>0.54989302158355702</v>
      </c>
      <c r="E16">
        <v>0.56965643167495705</v>
      </c>
      <c r="F16">
        <v>0.570115625858306</v>
      </c>
      <c r="G16">
        <v>0.57295823097229004</v>
      </c>
      <c r="H16">
        <f t="shared" si="0"/>
        <v>0.56441844701766941</v>
      </c>
      <c r="I16">
        <f t="shared" si="1"/>
        <v>9.5956760087119557E-3</v>
      </c>
      <c r="K16" s="1">
        <v>0.7</v>
      </c>
      <c r="L16" s="1">
        <f>AVERAGE(H44:H46)</f>
        <v>0.48135000467300371</v>
      </c>
      <c r="M16" s="1">
        <f>AVERAGE(I44:I46)</f>
        <v>3.3801176029809109E-2</v>
      </c>
    </row>
    <row r="17" spans="1:13" x14ac:dyDescent="0.2">
      <c r="A17" t="s">
        <v>35</v>
      </c>
      <c r="B17" t="s">
        <v>194</v>
      </c>
      <c r="C17">
        <v>0.58820676803588801</v>
      </c>
      <c r="D17">
        <v>0.48271247744560197</v>
      </c>
      <c r="E17">
        <v>0.54720985889434803</v>
      </c>
      <c r="F17">
        <v>0.55400580167770297</v>
      </c>
      <c r="G17">
        <v>0.52698951959609897</v>
      </c>
      <c r="H17">
        <f t="shared" si="0"/>
        <v>0.53982488512992799</v>
      </c>
      <c r="I17">
        <f t="shared" si="1"/>
        <v>3.8804047936554967E-2</v>
      </c>
      <c r="K17" s="1">
        <v>0.75</v>
      </c>
      <c r="L17" s="1">
        <f>AVERAGE(H47:H49)</f>
        <v>0.54034851789474436</v>
      </c>
      <c r="M17" s="1">
        <f>AVERAGE(I47:I49)</f>
        <v>3.9579506401683756E-2</v>
      </c>
    </row>
    <row r="18" spans="1:13" x14ac:dyDescent="0.2">
      <c r="A18" t="s">
        <v>37</v>
      </c>
      <c r="B18" t="s">
        <v>123</v>
      </c>
      <c r="C18">
        <v>0.50586944818496704</v>
      </c>
      <c r="D18">
        <v>0.491262257099151</v>
      </c>
      <c r="E18">
        <v>0.52656459808349598</v>
      </c>
      <c r="F18">
        <v>0.50548356771469105</v>
      </c>
      <c r="G18">
        <v>0.52875566482543901</v>
      </c>
      <c r="H18">
        <f t="shared" si="0"/>
        <v>0.51158710718154876</v>
      </c>
      <c r="I18">
        <f t="shared" si="1"/>
        <v>1.5828210216146676E-2</v>
      </c>
      <c r="K18" s="1">
        <v>0.8</v>
      </c>
      <c r="L18" s="1">
        <f>AVERAGE(H50:H52)</f>
        <v>0.4586262921492254</v>
      </c>
      <c r="M18" s="1">
        <f>AVERAGE(I50:I52)</f>
        <v>3.9374638160678752E-2</v>
      </c>
    </row>
    <row r="19" spans="1:13" x14ac:dyDescent="0.2">
      <c r="A19" t="s">
        <v>39</v>
      </c>
      <c r="B19" t="s">
        <v>195</v>
      </c>
      <c r="C19">
        <v>0.62031990289688099</v>
      </c>
      <c r="D19">
        <v>0.60068696737289395</v>
      </c>
      <c r="E19">
        <v>0.58231365680694502</v>
      </c>
      <c r="F19">
        <v>0.54764717817306496</v>
      </c>
      <c r="G19">
        <v>0.61778223514556796</v>
      </c>
      <c r="H19">
        <f t="shared" si="0"/>
        <v>0.59374998807907053</v>
      </c>
      <c r="I19">
        <f t="shared" si="1"/>
        <v>2.9949497944076184E-2</v>
      </c>
      <c r="K19" s="1">
        <v>0.85</v>
      </c>
      <c r="L19" s="1">
        <f>AVERAGE(H53:H55)</f>
        <v>0.38522486289342189</v>
      </c>
      <c r="M19" s="1">
        <f>AVERAGE(I53:I55)</f>
        <v>4.3431603361755201E-2</v>
      </c>
    </row>
    <row r="20" spans="1:13" x14ac:dyDescent="0.2">
      <c r="A20" t="s">
        <v>41</v>
      </c>
      <c r="B20" t="s">
        <v>196</v>
      </c>
      <c r="C20">
        <v>0.563171446323394</v>
      </c>
      <c r="D20">
        <v>0.52763885259628296</v>
      </c>
      <c r="E20">
        <v>0.52769112586975098</v>
      </c>
      <c r="F20">
        <v>0.50066286325454701</v>
      </c>
      <c r="G20">
        <v>0.556377112865448</v>
      </c>
      <c r="H20">
        <f t="shared" si="0"/>
        <v>0.53510828018188461</v>
      </c>
      <c r="I20">
        <f t="shared" si="1"/>
        <v>2.5185302318277012E-2</v>
      </c>
      <c r="K20" s="1">
        <v>0.9</v>
      </c>
      <c r="L20" s="1">
        <f>AVERAGE(H56:H58)</f>
        <v>0.34065843621889697</v>
      </c>
      <c r="M20" s="1">
        <f>AVERAGE(I56:I58)</f>
        <v>6.2171987747174438E-2</v>
      </c>
    </row>
    <row r="21" spans="1:13" x14ac:dyDescent="0.2">
      <c r="A21" t="s">
        <v>43</v>
      </c>
      <c r="B21" t="s">
        <v>197</v>
      </c>
      <c r="C21">
        <v>0.51461875438690097</v>
      </c>
      <c r="D21">
        <v>0.53040587902069003</v>
      </c>
      <c r="E21">
        <v>0.52899658679962103</v>
      </c>
      <c r="F21">
        <v>0.45074164867401101</v>
      </c>
      <c r="G21">
        <v>0.48841527104377702</v>
      </c>
      <c r="H21">
        <f t="shared" si="0"/>
        <v>0.50263562798499994</v>
      </c>
      <c r="I21">
        <f t="shared" si="1"/>
        <v>3.3559223586223159E-2</v>
      </c>
      <c r="K21" s="1">
        <v>0.95</v>
      </c>
      <c r="L21" s="1">
        <f>AVERAGE(H59:H61)</f>
        <v>0.39419752756754517</v>
      </c>
      <c r="M21" s="1">
        <f>AVERAGE(I59:I61)</f>
        <v>2.6365669383791882E-2</v>
      </c>
    </row>
    <row r="22" spans="1:13" x14ac:dyDescent="0.2">
      <c r="A22" t="s">
        <v>45</v>
      </c>
      <c r="B22" t="s">
        <v>198</v>
      </c>
      <c r="C22">
        <v>0.59330785274505604</v>
      </c>
      <c r="D22">
        <v>0.48355430364608698</v>
      </c>
      <c r="E22">
        <v>0.57653409242630005</v>
      </c>
      <c r="F22">
        <v>0.59093183279037398</v>
      </c>
      <c r="G22">
        <v>0.52287286520004195</v>
      </c>
      <c r="H22">
        <f t="shared" si="0"/>
        <v>0.55344018936157169</v>
      </c>
      <c r="I22">
        <f t="shared" si="1"/>
        <v>4.8339374732323998E-2</v>
      </c>
      <c r="K22" s="1">
        <v>1</v>
      </c>
      <c r="L22" s="1">
        <f>AVERAGE(H62:H64)</f>
        <v>0.35041838586330359</v>
      </c>
      <c r="M22" s="1">
        <f>AVERAGE(I62:I64)</f>
        <v>4.6978259924737177E-2</v>
      </c>
    </row>
    <row r="23" spans="1:13" x14ac:dyDescent="0.2">
      <c r="A23" t="s">
        <v>47</v>
      </c>
      <c r="B23" t="s">
        <v>199</v>
      </c>
      <c r="C23">
        <v>0.48630580306053101</v>
      </c>
      <c r="D23">
        <v>0.46804305911064098</v>
      </c>
      <c r="E23">
        <v>0.46014472842216397</v>
      </c>
      <c r="F23">
        <v>0.39471644163131703</v>
      </c>
      <c r="G23">
        <v>0.45489066839218101</v>
      </c>
      <c r="H23">
        <f t="shared" si="0"/>
        <v>0.4528201401233668</v>
      </c>
      <c r="I23">
        <f t="shared" si="1"/>
        <v>3.4594086721390506E-2</v>
      </c>
    </row>
    <row r="24" spans="1:13" x14ac:dyDescent="0.2">
      <c r="A24" t="s">
        <v>49</v>
      </c>
      <c r="B24" t="s">
        <v>124</v>
      </c>
      <c r="C24">
        <v>0.46718087792396501</v>
      </c>
      <c r="D24">
        <v>0.493155658245086</v>
      </c>
      <c r="E24">
        <v>0.50981301069259599</v>
      </c>
      <c r="F24">
        <v>0.42296847701072599</v>
      </c>
      <c r="G24">
        <v>0.452133178710937</v>
      </c>
      <c r="H24">
        <f t="shared" si="0"/>
        <v>0.469050240516662</v>
      </c>
      <c r="I24">
        <f t="shared" si="1"/>
        <v>3.4117022953126137E-2</v>
      </c>
    </row>
    <row r="25" spans="1:13" x14ac:dyDescent="0.2">
      <c r="A25" t="s">
        <v>51</v>
      </c>
      <c r="B25" t="s">
        <v>36</v>
      </c>
      <c r="C25">
        <v>0.57850146293640103</v>
      </c>
      <c r="D25">
        <v>0.63374876976013095</v>
      </c>
      <c r="E25">
        <v>0.52812117338180498</v>
      </c>
      <c r="F25">
        <v>0.52505654096603305</v>
      </c>
      <c r="G25">
        <v>0.62246209383010798</v>
      </c>
      <c r="H25">
        <f t="shared" si="0"/>
        <v>0.57757800817489557</v>
      </c>
      <c r="I25">
        <f t="shared" si="1"/>
        <v>5.0929047203901776E-2</v>
      </c>
    </row>
    <row r="26" spans="1:13" x14ac:dyDescent="0.2">
      <c r="A26" t="s">
        <v>53</v>
      </c>
      <c r="B26" t="s">
        <v>200</v>
      </c>
      <c r="C26">
        <v>0.58507317304611195</v>
      </c>
      <c r="D26">
        <v>0.660528123378753</v>
      </c>
      <c r="E26">
        <v>0.47507375478744501</v>
      </c>
      <c r="F26">
        <v>0.66387313604354803</v>
      </c>
      <c r="G26">
        <v>0.63806921243667603</v>
      </c>
      <c r="H26">
        <f t="shared" si="0"/>
        <v>0.60452347993850686</v>
      </c>
      <c r="I26">
        <f t="shared" si="1"/>
        <v>7.8929974843826592E-2</v>
      </c>
    </row>
    <row r="27" spans="1:13" x14ac:dyDescent="0.2">
      <c r="A27" t="s">
        <v>55</v>
      </c>
      <c r="B27" t="s">
        <v>201</v>
      </c>
      <c r="C27">
        <v>0.50257116556167603</v>
      </c>
      <c r="D27">
        <v>0.53552621603011996</v>
      </c>
      <c r="E27">
        <v>0.55411791801452603</v>
      </c>
      <c r="F27">
        <v>0.50658333301544101</v>
      </c>
      <c r="G27">
        <v>0.52229028940200795</v>
      </c>
      <c r="H27">
        <f t="shared" si="0"/>
        <v>0.52421778440475419</v>
      </c>
      <c r="I27">
        <f t="shared" si="1"/>
        <v>2.1243609838213402E-2</v>
      </c>
    </row>
    <row r="28" spans="1:13" x14ac:dyDescent="0.2">
      <c r="A28" t="s">
        <v>57</v>
      </c>
      <c r="B28" t="s">
        <v>202</v>
      </c>
      <c r="C28">
        <v>0.52186769247054998</v>
      </c>
      <c r="D28">
        <v>0.51632446050643899</v>
      </c>
      <c r="E28">
        <v>0.528569936752319</v>
      </c>
      <c r="F28">
        <v>0.45667669177055298</v>
      </c>
      <c r="G28">
        <v>0.45017477869987399</v>
      </c>
      <c r="H28">
        <f t="shared" si="0"/>
        <v>0.494722712039947</v>
      </c>
      <c r="I28">
        <f t="shared" si="1"/>
        <v>3.8016898030112684E-2</v>
      </c>
    </row>
    <row r="29" spans="1:13" x14ac:dyDescent="0.2">
      <c r="A29" t="s">
        <v>59</v>
      </c>
      <c r="B29" t="s">
        <v>203</v>
      </c>
      <c r="C29">
        <v>0.48964285850524902</v>
      </c>
      <c r="D29">
        <v>0.63996458053588801</v>
      </c>
      <c r="E29">
        <v>0.48442426323890603</v>
      </c>
      <c r="F29">
        <v>0.56026208400726296</v>
      </c>
      <c r="G29">
        <v>0.31120687723159701</v>
      </c>
      <c r="H29">
        <f t="shared" si="0"/>
        <v>0.49710013270378062</v>
      </c>
      <c r="I29">
        <f t="shared" si="1"/>
        <v>0.1216267585505405</v>
      </c>
    </row>
    <row r="30" spans="1:13" x14ac:dyDescent="0.2">
      <c r="A30" t="s">
        <v>61</v>
      </c>
      <c r="B30" t="s">
        <v>131</v>
      </c>
      <c r="C30">
        <v>0.57196933031082098</v>
      </c>
      <c r="D30">
        <v>0.58061301708221402</v>
      </c>
      <c r="E30">
        <v>0.54553961753845204</v>
      </c>
      <c r="F30">
        <v>0.58399337530136097</v>
      </c>
      <c r="G30">
        <v>0.63094979524612405</v>
      </c>
      <c r="H30">
        <f t="shared" si="0"/>
        <v>0.58261302709579454</v>
      </c>
      <c r="I30">
        <f t="shared" si="1"/>
        <v>3.0943797980769315E-2</v>
      </c>
    </row>
    <row r="31" spans="1:13" x14ac:dyDescent="0.2">
      <c r="A31" t="s">
        <v>63</v>
      </c>
      <c r="B31" t="s">
        <v>171</v>
      </c>
      <c r="C31">
        <v>0.60351538658142001</v>
      </c>
      <c r="D31">
        <v>0.58781099319457997</v>
      </c>
      <c r="E31">
        <v>0.61015659570693903</v>
      </c>
      <c r="F31">
        <v>0.58306384086608798</v>
      </c>
      <c r="G31">
        <v>0.57609313726425104</v>
      </c>
      <c r="H31">
        <f t="shared" si="0"/>
        <v>0.59212799072265554</v>
      </c>
      <c r="I31">
        <f t="shared" si="1"/>
        <v>1.4253203042086441E-2</v>
      </c>
    </row>
    <row r="32" spans="1:13" x14ac:dyDescent="0.2">
      <c r="A32" t="s">
        <v>65</v>
      </c>
      <c r="B32" t="s">
        <v>204</v>
      </c>
      <c r="C32">
        <v>0.44382521510124201</v>
      </c>
      <c r="D32">
        <v>0.44633370637893599</v>
      </c>
      <c r="E32">
        <v>0.44206139445304798</v>
      </c>
      <c r="F32">
        <v>0.49051508307456898</v>
      </c>
      <c r="G32">
        <v>0.49671575427055298</v>
      </c>
      <c r="H32">
        <f t="shared" si="0"/>
        <v>0.46389023065566964</v>
      </c>
      <c r="I32">
        <f t="shared" si="1"/>
        <v>2.7265968948302938E-2</v>
      </c>
    </row>
    <row r="33" spans="1:9" x14ac:dyDescent="0.2">
      <c r="A33" t="s">
        <v>67</v>
      </c>
      <c r="B33" t="s">
        <v>131</v>
      </c>
      <c r="C33">
        <v>0.43431970477104098</v>
      </c>
      <c r="D33">
        <v>0.419423878192901</v>
      </c>
      <c r="E33">
        <v>0.58183413743972701</v>
      </c>
      <c r="F33">
        <v>0.42358863353729198</v>
      </c>
      <c r="G33">
        <v>0.43094933032989502</v>
      </c>
      <c r="H33">
        <f t="shared" si="0"/>
        <v>0.45802313685417123</v>
      </c>
      <c r="I33">
        <f t="shared" si="1"/>
        <v>6.9461581730676167E-2</v>
      </c>
    </row>
    <row r="34" spans="1:9" x14ac:dyDescent="0.2">
      <c r="A34" t="s">
        <v>69</v>
      </c>
      <c r="B34" t="s">
        <v>170</v>
      </c>
      <c r="C34">
        <v>0.526877760887146</v>
      </c>
      <c r="D34">
        <v>0.54677659273147505</v>
      </c>
      <c r="E34">
        <v>0.560990691184997</v>
      </c>
      <c r="F34">
        <v>0.53721851110458296</v>
      </c>
      <c r="G34">
        <v>0.47981336712837203</v>
      </c>
      <c r="H34">
        <f t="shared" si="0"/>
        <v>0.53033538460731466</v>
      </c>
      <c r="I34">
        <f t="shared" si="1"/>
        <v>3.0910629192334095E-2</v>
      </c>
    </row>
    <row r="35" spans="1:9" x14ac:dyDescent="0.2">
      <c r="A35" t="s">
        <v>70</v>
      </c>
      <c r="B35" t="s">
        <v>173</v>
      </c>
      <c r="C35">
        <v>0.450150907039642</v>
      </c>
      <c r="D35">
        <v>0.435373574495315</v>
      </c>
      <c r="E35">
        <v>0.421177357435226</v>
      </c>
      <c r="F35">
        <v>0.483047425746917</v>
      </c>
      <c r="G35">
        <v>0.398565024137496</v>
      </c>
      <c r="H35">
        <f t="shared" si="0"/>
        <v>0.43766285777091918</v>
      </c>
      <c r="I35">
        <f t="shared" si="1"/>
        <v>3.1707110870303819E-2</v>
      </c>
    </row>
    <row r="36" spans="1:9" x14ac:dyDescent="0.2">
      <c r="A36" t="s">
        <v>72</v>
      </c>
      <c r="B36" t="s">
        <v>133</v>
      </c>
      <c r="C36">
        <v>0.53995347023010198</v>
      </c>
      <c r="D36">
        <v>0.50560438632964999</v>
      </c>
      <c r="E36">
        <v>0.58775800466537398</v>
      </c>
      <c r="F36">
        <v>0.44483375549316401</v>
      </c>
      <c r="G36">
        <v>0.58094799518585205</v>
      </c>
      <c r="H36">
        <f t="shared" si="0"/>
        <v>0.53181952238082841</v>
      </c>
      <c r="I36">
        <f t="shared" si="1"/>
        <v>5.8869853803292127E-2</v>
      </c>
    </row>
    <row r="37" spans="1:9" x14ac:dyDescent="0.2">
      <c r="A37" t="s">
        <v>74</v>
      </c>
      <c r="B37" t="s">
        <v>52</v>
      </c>
      <c r="C37">
        <v>0.66082078218460005</v>
      </c>
      <c r="D37">
        <v>0.61465072631835904</v>
      </c>
      <c r="E37">
        <v>0.57515954971313399</v>
      </c>
      <c r="F37">
        <v>0.58238750696182195</v>
      </c>
      <c r="G37">
        <v>0.62468957901000899</v>
      </c>
      <c r="H37">
        <f t="shared" si="0"/>
        <v>0.61154162883758478</v>
      </c>
      <c r="I37">
        <f t="shared" si="1"/>
        <v>3.45853601226183E-2</v>
      </c>
    </row>
    <row r="38" spans="1:9" x14ac:dyDescent="0.2">
      <c r="A38" t="s">
        <v>76</v>
      </c>
      <c r="B38" t="s">
        <v>205</v>
      </c>
      <c r="C38">
        <v>0.41601797938346802</v>
      </c>
      <c r="D38">
        <v>0.41940400004386902</v>
      </c>
      <c r="E38">
        <v>0.38081306219100902</v>
      </c>
      <c r="F38">
        <v>0.37046006321906999</v>
      </c>
      <c r="G38">
        <v>0.409601360559463</v>
      </c>
      <c r="H38">
        <f t="shared" si="0"/>
        <v>0.3992592930793758</v>
      </c>
      <c r="I38">
        <f t="shared" si="1"/>
        <v>2.215445902984664E-2</v>
      </c>
    </row>
    <row r="39" spans="1:9" x14ac:dyDescent="0.2">
      <c r="A39" t="s">
        <v>78</v>
      </c>
      <c r="B39" t="s">
        <v>206</v>
      </c>
      <c r="C39">
        <v>0.50793117284774703</v>
      </c>
      <c r="D39">
        <v>0.49052166938781699</v>
      </c>
      <c r="E39">
        <v>0.51740419864654497</v>
      </c>
      <c r="F39">
        <v>0.46793463826179499</v>
      </c>
      <c r="G39">
        <v>0.47834831476211498</v>
      </c>
      <c r="H39">
        <f t="shared" si="0"/>
        <v>0.4924279987812038</v>
      </c>
      <c r="I39">
        <f t="shared" si="1"/>
        <v>2.0408057656341384E-2</v>
      </c>
    </row>
    <row r="40" spans="1:9" x14ac:dyDescent="0.2">
      <c r="A40" t="s">
        <v>79</v>
      </c>
      <c r="B40" t="s">
        <v>207</v>
      </c>
      <c r="C40">
        <v>0.62076050043106001</v>
      </c>
      <c r="D40">
        <v>0.72380417585372903</v>
      </c>
      <c r="E40">
        <v>0.49803453683853099</v>
      </c>
      <c r="F40">
        <v>0.30931937694549499</v>
      </c>
      <c r="G40">
        <v>0.46229222416877702</v>
      </c>
      <c r="H40">
        <f t="shared" si="0"/>
        <v>0.5228421628475185</v>
      </c>
      <c r="I40">
        <f t="shared" si="1"/>
        <v>0.15799321582602438</v>
      </c>
    </row>
    <row r="41" spans="1:9" x14ac:dyDescent="0.2">
      <c r="A41" t="s">
        <v>81</v>
      </c>
      <c r="B41" t="s">
        <v>56</v>
      </c>
      <c r="C41">
        <v>0.38524398207664401</v>
      </c>
      <c r="D41">
        <v>0.37552911043167098</v>
      </c>
      <c r="E41">
        <v>0.44830977916717502</v>
      </c>
      <c r="F41">
        <v>0.34714871644973699</v>
      </c>
      <c r="G41">
        <v>0.40013229846954301</v>
      </c>
      <c r="H41">
        <f t="shared" si="0"/>
        <v>0.39127277731895405</v>
      </c>
      <c r="I41">
        <f t="shared" si="1"/>
        <v>3.7292267501365148E-2</v>
      </c>
    </row>
    <row r="42" spans="1:9" x14ac:dyDescent="0.2">
      <c r="A42" t="s">
        <v>83</v>
      </c>
      <c r="B42" t="s">
        <v>174</v>
      </c>
      <c r="C42">
        <v>0.58898210525512695</v>
      </c>
      <c r="D42">
        <v>0.59521144628524703</v>
      </c>
      <c r="E42">
        <v>0.57175558805465698</v>
      </c>
      <c r="F42">
        <v>0.55532234907150202</v>
      </c>
      <c r="G42">
        <v>0.50958836078643799</v>
      </c>
      <c r="H42">
        <f t="shared" si="0"/>
        <v>0.56417196989059415</v>
      </c>
      <c r="I42">
        <f t="shared" si="1"/>
        <v>3.4257077179744869E-2</v>
      </c>
    </row>
    <row r="43" spans="1:9" x14ac:dyDescent="0.2">
      <c r="A43" t="s">
        <v>85</v>
      </c>
      <c r="B43" t="s">
        <v>175</v>
      </c>
      <c r="C43">
        <v>0.44945704936981201</v>
      </c>
      <c r="D43">
        <v>0.42727416753768899</v>
      </c>
      <c r="E43">
        <v>0.44550487399101202</v>
      </c>
      <c r="F43">
        <v>0.43309092521667403</v>
      </c>
      <c r="G43">
        <v>0.43921202421188299</v>
      </c>
      <c r="H43">
        <f t="shared" si="0"/>
        <v>0.43890780806541396</v>
      </c>
      <c r="I43">
        <f t="shared" si="1"/>
        <v>9.0010837735403724E-3</v>
      </c>
    </row>
    <row r="44" spans="1:9" x14ac:dyDescent="0.2">
      <c r="A44" t="s">
        <v>86</v>
      </c>
      <c r="B44" t="s">
        <v>140</v>
      </c>
      <c r="C44">
        <v>0.46578484773635798</v>
      </c>
      <c r="D44">
        <v>0.42969134449958801</v>
      </c>
      <c r="E44">
        <v>0.39844647049903797</v>
      </c>
      <c r="F44">
        <v>0.437896788120269</v>
      </c>
      <c r="G44">
        <v>0.42507347464561401</v>
      </c>
      <c r="H44">
        <f t="shared" si="0"/>
        <v>0.43137858510017341</v>
      </c>
      <c r="I44">
        <f t="shared" si="1"/>
        <v>2.4255943859145479E-2</v>
      </c>
    </row>
    <row r="45" spans="1:9" x14ac:dyDescent="0.2">
      <c r="A45" t="s">
        <v>88</v>
      </c>
      <c r="B45" t="s">
        <v>208</v>
      </c>
      <c r="C45">
        <v>0.52205473184585505</v>
      </c>
      <c r="D45">
        <v>0.43538948893547003</v>
      </c>
      <c r="E45">
        <v>0.428387701511383</v>
      </c>
      <c r="F45">
        <v>0.47633597254753102</v>
      </c>
      <c r="G45">
        <v>0.40778949856758101</v>
      </c>
      <c r="H45">
        <f t="shared" si="0"/>
        <v>0.45399147868156409</v>
      </c>
      <c r="I45">
        <f t="shared" si="1"/>
        <v>4.5464528018499102E-2</v>
      </c>
    </row>
    <row r="46" spans="1:9" x14ac:dyDescent="0.2">
      <c r="A46" t="s">
        <v>89</v>
      </c>
      <c r="B46" t="s">
        <v>141</v>
      </c>
      <c r="C46">
        <v>0.55825543403625399</v>
      </c>
      <c r="D46">
        <v>0.543903708457946</v>
      </c>
      <c r="E46">
        <v>0.53566288948059004</v>
      </c>
      <c r="F46">
        <v>0.61340248584747303</v>
      </c>
      <c r="G46">
        <v>0.542175233364105</v>
      </c>
      <c r="H46">
        <f t="shared" si="0"/>
        <v>0.55867995023727368</v>
      </c>
      <c r="I46">
        <f t="shared" si="1"/>
        <v>3.1683056211782738E-2</v>
      </c>
    </row>
    <row r="47" spans="1:9" x14ac:dyDescent="0.2">
      <c r="A47" t="s">
        <v>90</v>
      </c>
      <c r="B47" t="s">
        <v>54</v>
      </c>
      <c r="C47">
        <v>0.59357440471649103</v>
      </c>
      <c r="D47">
        <v>0.57817751169204701</v>
      </c>
      <c r="E47">
        <v>0.58506464958190896</v>
      </c>
      <c r="F47">
        <v>0.58765721321105902</v>
      </c>
      <c r="G47">
        <v>0.583043813705444</v>
      </c>
      <c r="H47">
        <f t="shared" si="0"/>
        <v>0.58550351858138994</v>
      </c>
      <c r="I47">
        <f t="shared" si="1"/>
        <v>5.6940919948177482E-3</v>
      </c>
    </row>
    <row r="48" spans="1:9" x14ac:dyDescent="0.2">
      <c r="A48" t="s">
        <v>92</v>
      </c>
      <c r="B48" t="s">
        <v>141</v>
      </c>
      <c r="C48">
        <v>0.48969426751136702</v>
      </c>
      <c r="D48">
        <v>0.445030838251113</v>
      </c>
      <c r="E48">
        <v>0.36900791525840698</v>
      </c>
      <c r="F48">
        <v>0.43666520714759799</v>
      </c>
      <c r="G48">
        <v>0.47030866146087602</v>
      </c>
      <c r="H48">
        <f t="shared" si="0"/>
        <v>0.44214137792587227</v>
      </c>
      <c r="I48">
        <f t="shared" si="1"/>
        <v>4.5938855990242763E-2</v>
      </c>
    </row>
    <row r="49" spans="1:9" x14ac:dyDescent="0.2">
      <c r="A49" t="s">
        <v>93</v>
      </c>
      <c r="B49" t="s">
        <v>141</v>
      </c>
      <c r="C49">
        <v>0.52073925733566195</v>
      </c>
      <c r="D49">
        <v>0.57191646099090498</v>
      </c>
      <c r="E49">
        <v>0.55476194620132402</v>
      </c>
      <c r="F49">
        <v>0.62846714258193903</v>
      </c>
      <c r="G49">
        <v>0.69111847877502397</v>
      </c>
      <c r="H49">
        <f t="shared" si="0"/>
        <v>0.59340065717697077</v>
      </c>
      <c r="I49">
        <f t="shared" si="1"/>
        <v>6.7105571219990751E-2</v>
      </c>
    </row>
    <row r="50" spans="1:9" x14ac:dyDescent="0.2">
      <c r="A50" t="s">
        <v>94</v>
      </c>
      <c r="B50" t="s">
        <v>209</v>
      </c>
      <c r="C50">
        <v>0.39587745070457397</v>
      </c>
      <c r="D50">
        <v>0.405224829912185</v>
      </c>
      <c r="E50">
        <v>0.42447090148925698</v>
      </c>
      <c r="F50">
        <v>0.42749118804931602</v>
      </c>
      <c r="G50">
        <v>0.40059524774551297</v>
      </c>
      <c r="H50">
        <f t="shared" si="0"/>
        <v>0.41073192358016897</v>
      </c>
      <c r="I50">
        <f t="shared" si="1"/>
        <v>1.4347195732876324E-2</v>
      </c>
    </row>
    <row r="51" spans="1:9" x14ac:dyDescent="0.2">
      <c r="A51" t="s">
        <v>96</v>
      </c>
      <c r="B51" t="s">
        <v>210</v>
      </c>
      <c r="C51">
        <v>0.49241626262664701</v>
      </c>
      <c r="D51">
        <v>0.47823336720466603</v>
      </c>
      <c r="E51">
        <v>0.35683420300483698</v>
      </c>
      <c r="F51">
        <v>0.53321576118469205</v>
      </c>
      <c r="G51">
        <v>0.44538509845733598</v>
      </c>
      <c r="H51">
        <f t="shared" si="0"/>
        <v>0.46121693849563561</v>
      </c>
      <c r="I51">
        <f t="shared" si="1"/>
        <v>6.6319661052345297E-2</v>
      </c>
    </row>
    <row r="52" spans="1:9" x14ac:dyDescent="0.2">
      <c r="A52" t="s">
        <v>98</v>
      </c>
      <c r="B52" t="s">
        <v>211</v>
      </c>
      <c r="C52">
        <v>0.520693659782409</v>
      </c>
      <c r="D52">
        <v>0.52206051349639804</v>
      </c>
      <c r="E52">
        <v>0.53733092546463002</v>
      </c>
      <c r="F52">
        <v>0.44190183281898499</v>
      </c>
      <c r="G52">
        <v>0.49766314029693598</v>
      </c>
      <c r="H52">
        <f t="shared" si="0"/>
        <v>0.50393001437187157</v>
      </c>
      <c r="I52">
        <f t="shared" si="1"/>
        <v>3.7457057696814636E-2</v>
      </c>
    </row>
    <row r="53" spans="1:9" x14ac:dyDescent="0.2">
      <c r="A53" t="s">
        <v>100</v>
      </c>
      <c r="B53" t="s">
        <v>212</v>
      </c>
      <c r="C53">
        <v>0.36556437611579801</v>
      </c>
      <c r="D53">
        <v>0.46033942699432301</v>
      </c>
      <c r="E53">
        <v>0.530026495456695</v>
      </c>
      <c r="F53">
        <v>0.44691359996795599</v>
      </c>
      <c r="G53">
        <v>0.40987649559974598</v>
      </c>
      <c r="H53">
        <f t="shared" si="0"/>
        <v>0.44254407882690361</v>
      </c>
      <c r="I53">
        <f t="shared" si="1"/>
        <v>6.1200461546837545E-2</v>
      </c>
    </row>
    <row r="54" spans="1:9" x14ac:dyDescent="0.2">
      <c r="A54" t="s">
        <v>101</v>
      </c>
      <c r="B54" t="s">
        <v>209</v>
      </c>
      <c r="C54">
        <v>0.27597001194953902</v>
      </c>
      <c r="D54">
        <v>0.34966930747032099</v>
      </c>
      <c r="E54">
        <v>0.32612434029579102</v>
      </c>
      <c r="F54">
        <v>0.384259283542633</v>
      </c>
      <c r="G54">
        <v>0.31082451343536299</v>
      </c>
      <c r="H54">
        <f t="shared" si="0"/>
        <v>0.32936949133872939</v>
      </c>
      <c r="I54">
        <f t="shared" si="1"/>
        <v>4.0715241104924339E-2</v>
      </c>
    </row>
    <row r="55" spans="1:9" x14ac:dyDescent="0.2">
      <c r="A55" t="s">
        <v>103</v>
      </c>
      <c r="B55" t="s">
        <v>212</v>
      </c>
      <c r="C55">
        <v>0.37012785673141402</v>
      </c>
      <c r="D55">
        <v>0.34867724776268</v>
      </c>
      <c r="E55">
        <v>0.42418426275253202</v>
      </c>
      <c r="F55">
        <v>0.37965166568756098</v>
      </c>
      <c r="G55">
        <v>0.396164059638977</v>
      </c>
      <c r="H55">
        <f t="shared" si="0"/>
        <v>0.38376101851463285</v>
      </c>
      <c r="I55">
        <f t="shared" si="1"/>
        <v>2.837910743350372E-2</v>
      </c>
    </row>
    <row r="56" spans="1:9" x14ac:dyDescent="0.2">
      <c r="A56" t="s">
        <v>104</v>
      </c>
      <c r="B56" t="s">
        <v>143</v>
      </c>
      <c r="C56">
        <v>0.20740740001201599</v>
      </c>
      <c r="D56">
        <v>0.33395060896873402</v>
      </c>
      <c r="E56">
        <v>0.27901232242584201</v>
      </c>
      <c r="F56">
        <v>0.30679011344909601</v>
      </c>
      <c r="G56">
        <v>0.34259259700775102</v>
      </c>
      <c r="H56">
        <f t="shared" si="0"/>
        <v>0.29395060837268783</v>
      </c>
      <c r="I56">
        <f t="shared" si="1"/>
        <v>5.4414555261099222E-2</v>
      </c>
    </row>
    <row r="57" spans="1:9" x14ac:dyDescent="0.2">
      <c r="A57" t="s">
        <v>106</v>
      </c>
      <c r="B57" t="s">
        <v>143</v>
      </c>
      <c r="C57">
        <v>0.36728394031524603</v>
      </c>
      <c r="D57">
        <v>0.39074072241783098</v>
      </c>
      <c r="E57">
        <v>0.36358025670051503</v>
      </c>
      <c r="F57">
        <v>0.42283949255943298</v>
      </c>
      <c r="G57">
        <v>0.39814814925193698</v>
      </c>
      <c r="H57">
        <f t="shared" si="0"/>
        <v>0.38851851224899236</v>
      </c>
      <c r="I57">
        <f t="shared" si="1"/>
        <v>2.4230257176324144E-2</v>
      </c>
    </row>
    <row r="58" spans="1:9" x14ac:dyDescent="0.2">
      <c r="A58" t="s">
        <v>149</v>
      </c>
      <c r="B58" t="s">
        <v>213</v>
      </c>
      <c r="C58">
        <v>0.45864203572273199</v>
      </c>
      <c r="D58">
        <v>0.18456791341304701</v>
      </c>
      <c r="E58">
        <v>0.30185183882713301</v>
      </c>
      <c r="F58">
        <v>0.33024695515632602</v>
      </c>
      <c r="G58">
        <v>0.42222219705581598</v>
      </c>
      <c r="H58">
        <f t="shared" si="0"/>
        <v>0.33950618803501081</v>
      </c>
      <c r="I58">
        <f t="shared" si="1"/>
        <v>0.10787115080409992</v>
      </c>
    </row>
    <row r="59" spans="1:9" x14ac:dyDescent="0.2">
      <c r="A59" t="s">
        <v>150</v>
      </c>
      <c r="B59" t="s">
        <v>71</v>
      </c>
      <c r="C59">
        <v>0.45226338505744901</v>
      </c>
      <c r="D59">
        <v>0.40864196419715798</v>
      </c>
      <c r="E59">
        <v>0.48395067453384399</v>
      </c>
      <c r="F59">
        <v>0.41995882987976002</v>
      </c>
      <c r="G59">
        <v>0.45123454928398099</v>
      </c>
      <c r="H59">
        <f t="shared" si="0"/>
        <v>0.44320988059043842</v>
      </c>
      <c r="I59">
        <f t="shared" si="1"/>
        <v>2.9756199962519155E-2</v>
      </c>
    </row>
    <row r="60" spans="1:9" x14ac:dyDescent="0.2">
      <c r="A60" t="s">
        <v>152</v>
      </c>
      <c r="B60" t="s">
        <v>145</v>
      </c>
      <c r="C60">
        <v>0.32314813137054399</v>
      </c>
      <c r="D60">
        <v>0.325514405965805</v>
      </c>
      <c r="E60">
        <v>0.38837444782257002</v>
      </c>
      <c r="F60">
        <v>0.34434154629707298</v>
      </c>
      <c r="G60">
        <v>0.38034975528717002</v>
      </c>
      <c r="H60">
        <f t="shared" si="0"/>
        <v>0.35234565734863238</v>
      </c>
      <c r="I60">
        <f t="shared" si="1"/>
        <v>3.0490902791248348E-2</v>
      </c>
    </row>
    <row r="61" spans="1:9" x14ac:dyDescent="0.2">
      <c r="A61" t="s">
        <v>107</v>
      </c>
      <c r="B61" t="s">
        <v>214</v>
      </c>
      <c r="C61">
        <v>0.40740743279456998</v>
      </c>
      <c r="D61">
        <v>0.38580247759818997</v>
      </c>
      <c r="E61">
        <v>0.37345680594444203</v>
      </c>
      <c r="F61">
        <v>0.36419755220413202</v>
      </c>
      <c r="G61">
        <v>0.40432095527648898</v>
      </c>
      <c r="H61">
        <f t="shared" si="0"/>
        <v>0.3870370447635646</v>
      </c>
      <c r="I61">
        <f t="shared" si="1"/>
        <v>1.8849905397608141E-2</v>
      </c>
    </row>
    <row r="62" spans="1:9" x14ac:dyDescent="0.2">
      <c r="A62" t="s">
        <v>153</v>
      </c>
      <c r="B62" t="s">
        <v>71</v>
      </c>
      <c r="C62">
        <v>0.38621404767036399</v>
      </c>
      <c r="D62">
        <v>0.38775718212127602</v>
      </c>
      <c r="E62">
        <v>0.34331277012825001</v>
      </c>
      <c r="F62">
        <v>0.40895062685012801</v>
      </c>
      <c r="G62">
        <v>0.33775722980499201</v>
      </c>
      <c r="H62">
        <f t="shared" si="0"/>
        <v>0.37279837131500199</v>
      </c>
      <c r="I62">
        <f t="shared" si="1"/>
        <v>3.0854554966631361E-2</v>
      </c>
    </row>
    <row r="63" spans="1:9" x14ac:dyDescent="0.2">
      <c r="A63" t="s">
        <v>215</v>
      </c>
      <c r="B63" t="s">
        <v>177</v>
      </c>
      <c r="C63">
        <v>0.33281892538070601</v>
      </c>
      <c r="D63">
        <v>0.33580246567726102</v>
      </c>
      <c r="E63">
        <v>0.33991771936416598</v>
      </c>
      <c r="F63">
        <v>0.35555556416511502</v>
      </c>
      <c r="G63">
        <v>0.45967078208923301</v>
      </c>
      <c r="H63">
        <f t="shared" si="0"/>
        <v>0.36475309133529621</v>
      </c>
      <c r="I63">
        <f t="shared" si="1"/>
        <v>5.377891758453715E-2</v>
      </c>
    </row>
    <row r="64" spans="1:9" x14ac:dyDescent="0.2">
      <c r="A64" t="s">
        <v>216</v>
      </c>
      <c r="B64" t="s">
        <v>147</v>
      </c>
      <c r="C64">
        <v>0.36111110448837203</v>
      </c>
      <c r="D64">
        <v>0.31769543886184598</v>
      </c>
      <c r="E64">
        <v>0.23353908956050801</v>
      </c>
      <c r="F64">
        <v>0.28580248355865401</v>
      </c>
      <c r="G64">
        <v>0.37037035822868303</v>
      </c>
      <c r="H64">
        <f t="shared" si="0"/>
        <v>0.31370369493961264</v>
      </c>
      <c r="I64">
        <f t="shared" si="1"/>
        <v>5.6301307223043037E-2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D40A-2C45-DF44-AADC-D55A62D3438F}">
  <dimension ref="A1:M64"/>
  <sheetViews>
    <sheetView workbookViewId="0">
      <selection activeCell="I28" sqref="I28"/>
    </sheetView>
  </sheetViews>
  <sheetFormatPr baseColWidth="10" defaultRowHeight="16" x14ac:dyDescent="0.2"/>
  <cols>
    <col min="1" max="1" width="6.5" bestFit="1" customWidth="1"/>
    <col min="2" max="2" width="14.83203125" bestFit="1" customWidth="1"/>
    <col min="3" max="7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217</v>
      </c>
      <c r="C2">
        <v>0.82880431413650502</v>
      </c>
      <c r="D2">
        <v>0.82497096061706499</v>
      </c>
      <c r="E2">
        <v>0.83557373285293501</v>
      </c>
      <c r="F2">
        <v>0.85138964653015103</v>
      </c>
      <c r="G2">
        <v>0.84461420774459794</v>
      </c>
      <c r="H2">
        <f>AVERAGE(C2:G2)</f>
        <v>0.83707057237625082</v>
      </c>
      <c r="I2">
        <f>STDEV(C2:G2)</f>
        <v>1.0942057367826498E-2</v>
      </c>
      <c r="K2" s="1">
        <v>0</v>
      </c>
      <c r="L2" s="1">
        <f>AVERAGE(H2:H4)</f>
        <v>0.83686250448226873</v>
      </c>
      <c r="M2" s="1">
        <f>AVERAGE(I2:I4)</f>
        <v>7.4391788515854422E-3</v>
      </c>
    </row>
    <row r="3" spans="1:13" x14ac:dyDescent="0.2">
      <c r="A3" t="s">
        <v>9</v>
      </c>
      <c r="B3" t="s">
        <v>217</v>
      </c>
      <c r="C3">
        <v>0.845805883407592</v>
      </c>
      <c r="D3">
        <v>0.84742528200149503</v>
      </c>
      <c r="E3">
        <v>0.86684769392013505</v>
      </c>
      <c r="F3">
        <v>0.85948139429092396</v>
      </c>
      <c r="G3">
        <v>0.85217529535293501</v>
      </c>
      <c r="H3">
        <f t="shared" ref="H3:H64" si="0">AVERAGE(C3:G3)</f>
        <v>0.85434710979461614</v>
      </c>
      <c r="I3">
        <f t="shared" ref="I3:I64" si="1">STDEV(C3:G3)</f>
        <v>8.7779056005592593E-3</v>
      </c>
      <c r="K3" s="1">
        <v>0.05</v>
      </c>
      <c r="L3" s="1">
        <f>AVERAGE(H5:H7)</f>
        <v>0.77887804110844883</v>
      </c>
      <c r="M3" s="1">
        <f>AVERAGE(I5:I7)</f>
        <v>1.5595029144463623E-2</v>
      </c>
    </row>
    <row r="4" spans="1:13" x14ac:dyDescent="0.2">
      <c r="A4" t="s">
        <v>10</v>
      </c>
      <c r="B4" t="s">
        <v>217</v>
      </c>
      <c r="C4">
        <v>0.81903392076492298</v>
      </c>
      <c r="D4">
        <v>0.82166975736617998</v>
      </c>
      <c r="E4">
        <v>0.82093089818954401</v>
      </c>
      <c r="F4">
        <v>0.81497281789779596</v>
      </c>
      <c r="G4">
        <v>0.81924176216125399</v>
      </c>
      <c r="H4">
        <f t="shared" si="0"/>
        <v>0.81916983127593945</v>
      </c>
      <c r="I4">
        <f t="shared" si="1"/>
        <v>2.5975735863705699E-3</v>
      </c>
      <c r="K4" s="1">
        <v>0.1</v>
      </c>
      <c r="L4" s="1">
        <f>AVERAGE(H8:H10)</f>
        <v>0.73714355230331385</v>
      </c>
      <c r="M4" s="1">
        <f>AVERAGE(I8:I10)</f>
        <v>3.3250485339121068E-2</v>
      </c>
    </row>
    <row r="5" spans="1:13" x14ac:dyDescent="0.2">
      <c r="A5" t="s">
        <v>11</v>
      </c>
      <c r="B5" t="s">
        <v>218</v>
      </c>
      <c r="C5">
        <v>0.73899227380752497</v>
      </c>
      <c r="D5">
        <v>0.75293570756912198</v>
      </c>
      <c r="E5">
        <v>0.77175897359848</v>
      </c>
      <c r="F5">
        <v>0.74400550127029397</v>
      </c>
      <c r="G5">
        <v>0.74873226881027199</v>
      </c>
      <c r="H5">
        <f t="shared" si="0"/>
        <v>0.75128494501113874</v>
      </c>
      <c r="I5">
        <f t="shared" si="1"/>
        <v>1.2575045585412977E-2</v>
      </c>
      <c r="K5" s="1">
        <v>0.15</v>
      </c>
      <c r="L5" s="1">
        <f>AVERAGE(H11:H13)</f>
        <v>0.69188572963078776</v>
      </c>
      <c r="M5" s="1">
        <f>AVERAGE(I11:I13)</f>
        <v>3.6320527574179418E-2</v>
      </c>
    </row>
    <row r="6" spans="1:13" x14ac:dyDescent="0.2">
      <c r="A6" t="s">
        <v>13</v>
      </c>
      <c r="B6" t="s">
        <v>219</v>
      </c>
      <c r="C6">
        <v>0.76511073112487704</v>
      </c>
      <c r="D6">
        <v>0.82746618986129705</v>
      </c>
      <c r="E6">
        <v>0.79028528928756703</v>
      </c>
      <c r="F6">
        <v>0.78999638557434004</v>
      </c>
      <c r="G6">
        <v>0.79017585515975897</v>
      </c>
      <c r="H6">
        <f t="shared" si="0"/>
        <v>0.79260689020156805</v>
      </c>
      <c r="I6">
        <f t="shared" si="1"/>
        <v>2.2300919450353684E-2</v>
      </c>
      <c r="K6" s="1">
        <v>0.2</v>
      </c>
      <c r="L6" s="1">
        <f>AVERAGE(H14:H16)</f>
        <v>0.64889881014823858</v>
      </c>
      <c r="M6" s="1">
        <f>AVERAGE(I14:I16)</f>
        <v>3.481849987718403E-2</v>
      </c>
    </row>
    <row r="7" spans="1:13" x14ac:dyDescent="0.2">
      <c r="A7" t="s">
        <v>15</v>
      </c>
      <c r="B7" t="s">
        <v>220</v>
      </c>
      <c r="C7">
        <v>0.78783708810806197</v>
      </c>
      <c r="D7">
        <v>0.79890006780624301</v>
      </c>
      <c r="E7">
        <v>0.79555034637451105</v>
      </c>
      <c r="F7">
        <v>0.80635166168212802</v>
      </c>
      <c r="G7">
        <v>0.77507227659225397</v>
      </c>
      <c r="H7">
        <f t="shared" si="0"/>
        <v>0.79274228811263947</v>
      </c>
      <c r="I7">
        <f t="shared" si="1"/>
        <v>1.1909122397624206E-2</v>
      </c>
      <c r="K7" s="1">
        <v>0.25</v>
      </c>
      <c r="L7" s="1">
        <f>AVERAGE(H17:H19)</f>
        <v>0.58094247182210224</v>
      </c>
      <c r="M7" s="1">
        <f>AVERAGE(I17:I19)</f>
        <v>3.9679283324594694E-2</v>
      </c>
    </row>
    <row r="8" spans="1:13" x14ac:dyDescent="0.2">
      <c r="A8" t="s">
        <v>17</v>
      </c>
      <c r="B8" t="s">
        <v>221</v>
      </c>
      <c r="C8">
        <v>0.70134478807449296</v>
      </c>
      <c r="D8">
        <v>0.75604325532913197</v>
      </c>
      <c r="E8">
        <v>0.74563676118850697</v>
      </c>
      <c r="F8">
        <v>0.71958732604980402</v>
      </c>
      <c r="G8">
        <v>0.70149898529052701</v>
      </c>
      <c r="H8">
        <f t="shared" si="0"/>
        <v>0.7248222231864927</v>
      </c>
      <c r="I8">
        <f t="shared" si="1"/>
        <v>2.5152362581429055E-2</v>
      </c>
      <c r="K8" s="1">
        <v>0.3</v>
      </c>
      <c r="L8" s="1">
        <f>AVERAGE(H20:H22)</f>
        <v>0.45835553208986884</v>
      </c>
      <c r="M8" s="1">
        <f>AVERAGE(I20:I22)</f>
        <v>5.0476874714377062E-2</v>
      </c>
    </row>
    <row r="9" spans="1:13" x14ac:dyDescent="0.2">
      <c r="A9" t="s">
        <v>19</v>
      </c>
      <c r="B9" t="s">
        <v>222</v>
      </c>
      <c r="C9">
        <v>0.79778128862380904</v>
      </c>
      <c r="D9">
        <v>0.77442616224288896</v>
      </c>
      <c r="E9">
        <v>0.70337647199630704</v>
      </c>
      <c r="F9">
        <v>0.82113200426101596</v>
      </c>
      <c r="G9">
        <v>0.81282752752303999</v>
      </c>
      <c r="H9">
        <f t="shared" si="0"/>
        <v>0.78190869092941218</v>
      </c>
      <c r="I9">
        <f t="shared" si="1"/>
        <v>4.7354196669045598E-2</v>
      </c>
      <c r="K9" s="1">
        <v>0.35</v>
      </c>
      <c r="L9" s="1">
        <f>AVERAGE(H23:H25)</f>
        <v>0.44821811219056396</v>
      </c>
      <c r="M9" s="1">
        <f>AVERAGE(I23:I25)</f>
        <v>6.0489848631301892E-2</v>
      </c>
    </row>
    <row r="10" spans="1:13" x14ac:dyDescent="0.2">
      <c r="A10" t="s">
        <v>21</v>
      </c>
      <c r="B10" t="s">
        <v>223</v>
      </c>
      <c r="C10">
        <v>0.69902426004409701</v>
      </c>
      <c r="D10">
        <v>0.69869500398635798</v>
      </c>
      <c r="E10">
        <v>0.740725457668304</v>
      </c>
      <c r="F10">
        <v>0.66696661710739102</v>
      </c>
      <c r="G10">
        <v>0.71808737516403198</v>
      </c>
      <c r="H10">
        <f t="shared" si="0"/>
        <v>0.70469974279403647</v>
      </c>
      <c r="I10">
        <f t="shared" si="1"/>
        <v>2.7244896766888543E-2</v>
      </c>
      <c r="K10" s="1">
        <v>0.4</v>
      </c>
      <c r="L10" s="1">
        <f>AVERAGE(H26:H28)</f>
        <v>0.41505062331755921</v>
      </c>
      <c r="M10" s="1">
        <f>AVERAGE(I26:I28)</f>
        <v>7.6602025877774801E-2</v>
      </c>
    </row>
    <row r="11" spans="1:13" x14ac:dyDescent="0.2">
      <c r="A11" t="s">
        <v>23</v>
      </c>
      <c r="B11" t="s">
        <v>224</v>
      </c>
      <c r="C11">
        <v>0.68647605180740301</v>
      </c>
      <c r="D11">
        <v>0.72261863946914595</v>
      </c>
      <c r="E11">
        <v>0.67113631963729803</v>
      </c>
      <c r="F11">
        <v>0.65713232755661</v>
      </c>
      <c r="G11">
        <v>0.74931901693344105</v>
      </c>
      <c r="H11">
        <f t="shared" si="0"/>
        <v>0.69733647108077967</v>
      </c>
      <c r="I11">
        <f t="shared" si="1"/>
        <v>3.7954390097552249E-2</v>
      </c>
      <c r="K11" s="1">
        <v>0.45</v>
      </c>
      <c r="L11" s="1">
        <f>AVERAGE(H29:H31)</f>
        <v>0.37761975824832877</v>
      </c>
      <c r="M11" s="1">
        <f>AVERAGE(I29:I31)</f>
        <v>6.4287733808973582E-2</v>
      </c>
    </row>
    <row r="12" spans="1:13" x14ac:dyDescent="0.2">
      <c r="A12" t="s">
        <v>25</v>
      </c>
      <c r="B12" t="s">
        <v>225</v>
      </c>
      <c r="C12">
        <v>0.66511052846908503</v>
      </c>
      <c r="D12">
        <v>0.76050120592117298</v>
      </c>
      <c r="E12">
        <v>0.72187703847885099</v>
      </c>
      <c r="F12">
        <v>0.76365280151367099</v>
      </c>
      <c r="G12">
        <v>0.69506078958511297</v>
      </c>
      <c r="H12">
        <f t="shared" si="0"/>
        <v>0.72124047279357861</v>
      </c>
      <c r="I12">
        <f t="shared" si="1"/>
        <v>4.2357297103968378E-2</v>
      </c>
      <c r="K12" s="1">
        <v>0.5</v>
      </c>
      <c r="L12" s="1">
        <f>AVERAGE(H32:H34)</f>
        <v>0.41532469987869214</v>
      </c>
      <c r="M12" s="1">
        <f>AVERAGE(I32:I34)</f>
        <v>4.5386197300952107E-2</v>
      </c>
    </row>
    <row r="13" spans="1:13" x14ac:dyDescent="0.2">
      <c r="A13" t="s">
        <v>27</v>
      </c>
      <c r="B13" t="s">
        <v>226</v>
      </c>
      <c r="C13">
        <v>0.669910848140716</v>
      </c>
      <c r="D13">
        <v>0.60785061120986905</v>
      </c>
      <c r="E13">
        <v>0.65625160932540805</v>
      </c>
      <c r="F13">
        <v>0.67484301328659002</v>
      </c>
      <c r="G13">
        <v>0.67654514312744096</v>
      </c>
      <c r="H13">
        <f t="shared" si="0"/>
        <v>0.65708024501800488</v>
      </c>
      <c r="I13">
        <f t="shared" si="1"/>
        <v>2.8649895521017626E-2</v>
      </c>
      <c r="K13" s="1">
        <v>0.55000000000000004</v>
      </c>
      <c r="L13" s="1">
        <f>AVERAGE(H35:H37)</f>
        <v>0.21535083750883713</v>
      </c>
      <c r="M13" s="1">
        <f>AVERAGE(I35:I37)</f>
        <v>3.2267819476011192E-2</v>
      </c>
    </row>
    <row r="14" spans="1:13" x14ac:dyDescent="0.2">
      <c r="A14" t="s">
        <v>29</v>
      </c>
      <c r="B14" t="s">
        <v>227</v>
      </c>
      <c r="C14">
        <v>0.743508040904998</v>
      </c>
      <c r="D14">
        <v>0.78162068128585804</v>
      </c>
      <c r="E14">
        <v>0.72417634725570601</v>
      </c>
      <c r="F14">
        <v>0.70291352272033603</v>
      </c>
      <c r="G14">
        <v>0.74491697549819902</v>
      </c>
      <c r="H14">
        <f t="shared" si="0"/>
        <v>0.73942711353301938</v>
      </c>
      <c r="I14">
        <f t="shared" si="1"/>
        <v>2.9124379385691596E-2</v>
      </c>
      <c r="K14" s="1">
        <v>0.6</v>
      </c>
      <c r="L14" s="1">
        <f>AVERAGE(H38:H40)</f>
        <v>0.36311703026294651</v>
      </c>
      <c r="M14" s="1">
        <f>AVERAGE(I38:I40)</f>
        <v>4.6946725545894429E-2</v>
      </c>
    </row>
    <row r="15" spans="1:13" x14ac:dyDescent="0.2">
      <c r="A15" t="s">
        <v>31</v>
      </c>
      <c r="B15" t="s">
        <v>228</v>
      </c>
      <c r="C15">
        <v>0.57068842649459794</v>
      </c>
      <c r="D15">
        <v>0.53842920064926103</v>
      </c>
      <c r="E15">
        <v>0.49285182356834401</v>
      </c>
      <c r="F15">
        <v>0.496068716049194</v>
      </c>
      <c r="G15">
        <v>0.54960232973098699</v>
      </c>
      <c r="H15">
        <f t="shared" si="0"/>
        <v>0.52952809929847677</v>
      </c>
      <c r="I15">
        <f t="shared" si="1"/>
        <v>3.406264961971292E-2</v>
      </c>
      <c r="K15" s="1">
        <v>0.65</v>
      </c>
      <c r="L15" s="1">
        <f>AVERAGE(H41:H43)</f>
        <v>0.16168911556402801</v>
      </c>
      <c r="M15" s="1">
        <f>AVERAGE(I41:I43)</f>
        <v>2.9631440913956263E-2</v>
      </c>
    </row>
    <row r="16" spans="1:13" x14ac:dyDescent="0.2">
      <c r="A16" t="s">
        <v>33</v>
      </c>
      <c r="B16" t="s">
        <v>229</v>
      </c>
      <c r="C16">
        <v>0.68386131525039595</v>
      </c>
      <c r="D16">
        <v>0.66685742139816195</v>
      </c>
      <c r="E16">
        <v>0.66776990890502896</v>
      </c>
      <c r="F16">
        <v>0.74189096689224199</v>
      </c>
      <c r="G16">
        <v>0.628326475620269</v>
      </c>
      <c r="H16">
        <f t="shared" si="0"/>
        <v>0.67774121761321948</v>
      </c>
      <c r="I16">
        <f t="shared" si="1"/>
        <v>4.126847062614758E-2</v>
      </c>
      <c r="K16" s="1">
        <v>0.7</v>
      </c>
      <c r="L16" s="1">
        <f>AVERAGE(H44:H46)</f>
        <v>0.16404982358217199</v>
      </c>
      <c r="M16" s="1">
        <f>AVERAGE(I44:I46)</f>
        <v>6.7613451505258382E-2</v>
      </c>
    </row>
    <row r="17" spans="1:13" x14ac:dyDescent="0.2">
      <c r="A17" t="s">
        <v>35</v>
      </c>
      <c r="B17" t="s">
        <v>230</v>
      </c>
      <c r="C17">
        <v>0.62817525863647405</v>
      </c>
      <c r="D17">
        <v>0.56042915582656805</v>
      </c>
      <c r="E17">
        <v>0.61167401075363104</v>
      </c>
      <c r="F17">
        <v>0.56624442338943404</v>
      </c>
      <c r="G17">
        <v>0.57677429914474398</v>
      </c>
      <c r="H17">
        <f t="shared" si="0"/>
        <v>0.58865942955017014</v>
      </c>
      <c r="I17">
        <f t="shared" si="1"/>
        <v>2.9714511929350273E-2</v>
      </c>
      <c r="K17" s="1">
        <v>0.75</v>
      </c>
      <c r="L17" s="1">
        <f>AVERAGE(H47:H49)</f>
        <v>0.34921074459950091</v>
      </c>
      <c r="M17" s="1">
        <f>AVERAGE(I47:I49)</f>
        <v>7.816703566422388E-2</v>
      </c>
    </row>
    <row r="18" spans="1:13" x14ac:dyDescent="0.2">
      <c r="A18" t="s">
        <v>37</v>
      </c>
      <c r="B18" t="s">
        <v>231</v>
      </c>
      <c r="C18">
        <v>0.66852712631225497</v>
      </c>
      <c r="D18">
        <v>0.60844039916992099</v>
      </c>
      <c r="E18">
        <v>0.60914301872253396</v>
      </c>
      <c r="F18">
        <v>0.62796908617019598</v>
      </c>
      <c r="G18">
        <v>0.547846138477325</v>
      </c>
      <c r="H18">
        <f t="shared" si="0"/>
        <v>0.61238515377044611</v>
      </c>
      <c r="I18">
        <f t="shared" si="1"/>
        <v>4.3549216564302794E-2</v>
      </c>
      <c r="K18" s="1">
        <v>0.8</v>
      </c>
      <c r="L18" s="1">
        <f>AVERAGE(H50:H52)</f>
        <v>0.10962963203589111</v>
      </c>
      <c r="M18" s="1">
        <f>AVERAGE(I50:I52)</f>
        <v>1.011554364437176E-2</v>
      </c>
    </row>
    <row r="19" spans="1:13" x14ac:dyDescent="0.2">
      <c r="A19" t="s">
        <v>39</v>
      </c>
      <c r="B19" t="s">
        <v>232</v>
      </c>
      <c r="C19">
        <v>0.598618924617767</v>
      </c>
      <c r="D19">
        <v>0.50183707475662198</v>
      </c>
      <c r="E19">
        <v>0.58406174182891801</v>
      </c>
      <c r="F19">
        <v>0.51511967182159402</v>
      </c>
      <c r="G19">
        <v>0.50927674770355202</v>
      </c>
      <c r="H19">
        <f t="shared" si="0"/>
        <v>0.54178283214569056</v>
      </c>
      <c r="I19">
        <f t="shared" si="1"/>
        <v>4.5774121480131026E-2</v>
      </c>
      <c r="K19" s="1">
        <v>0.85</v>
      </c>
      <c r="L19" s="1">
        <f>AVERAGE(H53:H55)</f>
        <v>0.25981481516112853</v>
      </c>
      <c r="M19" s="1">
        <f>AVERAGE(I53:I55)</f>
        <v>5.9648423259156695E-2</v>
      </c>
    </row>
    <row r="20" spans="1:13" x14ac:dyDescent="0.2">
      <c r="A20" t="s">
        <v>41</v>
      </c>
      <c r="B20" t="s">
        <v>233</v>
      </c>
      <c r="C20">
        <v>0.50862139463424605</v>
      </c>
      <c r="D20">
        <v>0.46931824088096602</v>
      </c>
      <c r="E20">
        <v>0.383667111396789</v>
      </c>
      <c r="F20">
        <v>0.47816666960716198</v>
      </c>
      <c r="G20">
        <v>0.44192114472389199</v>
      </c>
      <c r="H20">
        <f t="shared" si="0"/>
        <v>0.45633891224861112</v>
      </c>
      <c r="I20">
        <f t="shared" si="1"/>
        <v>4.7083528401391087E-2</v>
      </c>
      <c r="K20" s="1">
        <v>0.9</v>
      </c>
      <c r="L20" s="1">
        <f>AVERAGE(H56:H58)</f>
        <v>0.2031249970197673</v>
      </c>
      <c r="M20" s="1">
        <f>AVERAGE(I56:I58)</f>
        <v>5.7095332162157203E-2</v>
      </c>
    </row>
    <row r="21" spans="1:13" x14ac:dyDescent="0.2">
      <c r="A21" t="s">
        <v>43</v>
      </c>
      <c r="B21" t="s">
        <v>234</v>
      </c>
      <c r="C21">
        <v>0.387783974409103</v>
      </c>
      <c r="D21">
        <v>0.39901849627494801</v>
      </c>
      <c r="E21">
        <v>0.42720198631286599</v>
      </c>
      <c r="F21">
        <v>0.48821902275085399</v>
      </c>
      <c r="G21">
        <v>0.43970200419425898</v>
      </c>
      <c r="H21">
        <f t="shared" si="0"/>
        <v>0.42838509678840603</v>
      </c>
      <c r="I21">
        <f t="shared" si="1"/>
        <v>3.943481711598857E-2</v>
      </c>
      <c r="K21" s="1">
        <v>0.95</v>
      </c>
      <c r="L21" s="1">
        <f>AVERAGE(H59:H61)</f>
        <v>0.17444444249073632</v>
      </c>
      <c r="M21" s="1">
        <f>AVERAGE(I59:I61)</f>
        <v>2.749857887316073E-2</v>
      </c>
    </row>
    <row r="22" spans="1:13" x14ac:dyDescent="0.2">
      <c r="A22" t="s">
        <v>45</v>
      </c>
      <c r="B22" t="s">
        <v>235</v>
      </c>
      <c r="C22">
        <v>0.45020726323127702</v>
      </c>
      <c r="D22">
        <v>0.41242921352386402</v>
      </c>
      <c r="E22">
        <v>0.47477471828460599</v>
      </c>
      <c r="F22">
        <v>0.55856961011886597</v>
      </c>
      <c r="G22">
        <v>0.55573213100433305</v>
      </c>
      <c r="H22">
        <f t="shared" si="0"/>
        <v>0.49034258723258917</v>
      </c>
      <c r="I22">
        <f t="shared" si="1"/>
        <v>6.4912278625751524E-2</v>
      </c>
      <c r="K22" s="1">
        <v>1</v>
      </c>
      <c r="L22" s="1">
        <f>AVERAGE(H62:H64)</f>
        <v>0.15370369702577569</v>
      </c>
      <c r="M22" s="1">
        <f>AVERAGE(I62:I64)</f>
        <v>2.7777776122093339E-3</v>
      </c>
    </row>
    <row r="23" spans="1:13" x14ac:dyDescent="0.2">
      <c r="A23" t="s">
        <v>47</v>
      </c>
      <c r="B23" t="s">
        <v>236</v>
      </c>
      <c r="C23">
        <v>0.31355020403862</v>
      </c>
      <c r="D23">
        <v>0.32743883132934498</v>
      </c>
      <c r="E23">
        <v>0.23673707246780301</v>
      </c>
      <c r="F23">
        <v>0.39554086327552701</v>
      </c>
      <c r="G23">
        <v>0.23883669078350001</v>
      </c>
      <c r="H23">
        <f t="shared" si="0"/>
        <v>0.30242073237895906</v>
      </c>
      <c r="I23">
        <f t="shared" si="1"/>
        <v>6.6667838418621797E-2</v>
      </c>
    </row>
    <row r="24" spans="1:13" x14ac:dyDescent="0.2">
      <c r="A24" t="s">
        <v>49</v>
      </c>
      <c r="B24" t="s">
        <v>237</v>
      </c>
      <c r="C24">
        <v>0.50245612859725897</v>
      </c>
      <c r="D24">
        <v>0.54886353015899603</v>
      </c>
      <c r="E24">
        <v>0.66727858781814497</v>
      </c>
      <c r="F24">
        <v>0.59502506256103505</v>
      </c>
      <c r="G24">
        <v>0.62672030925750699</v>
      </c>
      <c r="H24">
        <f t="shared" si="0"/>
        <v>0.58806872367858842</v>
      </c>
      <c r="I24">
        <f t="shared" si="1"/>
        <v>6.4581541346748761E-2</v>
      </c>
    </row>
    <row r="25" spans="1:13" x14ac:dyDescent="0.2">
      <c r="A25" t="s">
        <v>51</v>
      </c>
      <c r="B25" t="s">
        <v>238</v>
      </c>
      <c r="C25">
        <v>0.49167475104331898</v>
      </c>
      <c r="D25">
        <v>0.41289785504341098</v>
      </c>
      <c r="E25">
        <v>0.52238517999649003</v>
      </c>
      <c r="F25">
        <v>0.433036118745803</v>
      </c>
      <c r="G25">
        <v>0.410830497741699</v>
      </c>
      <c r="H25">
        <f t="shared" si="0"/>
        <v>0.45416488051414439</v>
      </c>
      <c r="I25">
        <f t="shared" si="1"/>
        <v>5.0220166128535124E-2</v>
      </c>
    </row>
    <row r="26" spans="1:13" x14ac:dyDescent="0.2">
      <c r="A26" t="s">
        <v>53</v>
      </c>
      <c r="B26" t="s">
        <v>239</v>
      </c>
      <c r="C26">
        <v>0.55849856138229304</v>
      </c>
      <c r="D26">
        <v>0.63319885730743397</v>
      </c>
      <c r="E26">
        <v>0.59749418497085505</v>
      </c>
      <c r="F26">
        <v>0.694341421127319</v>
      </c>
      <c r="G26">
        <v>0.33521369099616999</v>
      </c>
      <c r="H26">
        <f t="shared" si="0"/>
        <v>0.56374934315681424</v>
      </c>
      <c r="I26">
        <f t="shared" si="1"/>
        <v>0.13717903922538666</v>
      </c>
    </row>
    <row r="27" spans="1:13" x14ac:dyDescent="0.2">
      <c r="A27" t="s">
        <v>55</v>
      </c>
      <c r="B27" t="s">
        <v>240</v>
      </c>
      <c r="C27">
        <v>0.41916379332542397</v>
      </c>
      <c r="D27">
        <v>0.55656617879867498</v>
      </c>
      <c r="E27">
        <v>0.51806133985519398</v>
      </c>
      <c r="F27">
        <v>0.56640785932540805</v>
      </c>
      <c r="G27">
        <v>0.567146956920623</v>
      </c>
      <c r="H27">
        <f t="shared" si="0"/>
        <v>0.52546922564506482</v>
      </c>
      <c r="I27">
        <f t="shared" si="1"/>
        <v>6.2721103346223703E-2</v>
      </c>
    </row>
    <row r="28" spans="1:13" x14ac:dyDescent="0.2">
      <c r="A28" t="s">
        <v>57</v>
      </c>
      <c r="B28" t="s">
        <v>241</v>
      </c>
      <c r="C28">
        <v>0.112469471991062</v>
      </c>
      <c r="D28">
        <v>0.15470847487449599</v>
      </c>
      <c r="E28">
        <v>0.144749701023101</v>
      </c>
      <c r="F28">
        <v>0.18318833410739899</v>
      </c>
      <c r="G28">
        <v>0.18455052375793399</v>
      </c>
      <c r="H28">
        <f t="shared" si="0"/>
        <v>0.1559333011507984</v>
      </c>
      <c r="I28">
        <f t="shared" si="1"/>
        <v>2.9905935061714052E-2</v>
      </c>
    </row>
    <row r="29" spans="1:13" x14ac:dyDescent="0.2">
      <c r="A29" t="s">
        <v>59</v>
      </c>
      <c r="B29" t="s">
        <v>242</v>
      </c>
      <c r="C29">
        <v>0.33837676048278797</v>
      </c>
      <c r="D29">
        <v>0.39330744743347101</v>
      </c>
      <c r="E29">
        <v>0.35268977284431402</v>
      </c>
      <c r="F29">
        <v>0.37975129485130299</v>
      </c>
      <c r="G29">
        <v>0.318258196115493</v>
      </c>
      <c r="H29">
        <f t="shared" si="0"/>
        <v>0.3564766943454738</v>
      </c>
      <c r="I29">
        <f t="shared" si="1"/>
        <v>3.0417155475896962E-2</v>
      </c>
    </row>
    <row r="30" spans="1:13" x14ac:dyDescent="0.2">
      <c r="A30" t="s">
        <v>61</v>
      </c>
      <c r="B30" t="s">
        <v>243</v>
      </c>
      <c r="C30">
        <v>0.60253447294235196</v>
      </c>
      <c r="D30">
        <v>0.482493996620178</v>
      </c>
      <c r="E30">
        <v>0.40799045562744102</v>
      </c>
      <c r="F30">
        <v>0.49909737706184298</v>
      </c>
      <c r="G30">
        <v>0.44105526804924</v>
      </c>
      <c r="H30">
        <f t="shared" si="0"/>
        <v>0.48663431406021085</v>
      </c>
      <c r="I30">
        <f t="shared" si="1"/>
        <v>7.3938526664480225E-2</v>
      </c>
    </row>
    <row r="31" spans="1:13" x14ac:dyDescent="0.2">
      <c r="A31" t="s">
        <v>63</v>
      </c>
      <c r="B31" t="s">
        <v>244</v>
      </c>
      <c r="C31">
        <v>0.19936566054821001</v>
      </c>
      <c r="D31">
        <v>0.35869458317756597</v>
      </c>
      <c r="E31">
        <v>0.404998868703842</v>
      </c>
      <c r="F31">
        <v>0.22375643253326399</v>
      </c>
      <c r="G31">
        <v>0.26192578673362699</v>
      </c>
      <c r="H31">
        <f t="shared" si="0"/>
        <v>0.28974826633930179</v>
      </c>
      <c r="I31">
        <f t="shared" si="1"/>
        <v>8.8507519286543559E-2</v>
      </c>
    </row>
    <row r="32" spans="1:13" x14ac:dyDescent="0.2">
      <c r="A32" t="s">
        <v>65</v>
      </c>
      <c r="B32" t="s">
        <v>245</v>
      </c>
      <c r="C32">
        <v>0.32919976115226701</v>
      </c>
      <c r="D32">
        <v>0.30490490794181802</v>
      </c>
      <c r="E32">
        <v>0.32912191748619002</v>
      </c>
      <c r="F32">
        <v>0.30176773667335499</v>
      </c>
      <c r="G32">
        <v>0.321064352989196</v>
      </c>
      <c r="H32">
        <f t="shared" si="0"/>
        <v>0.31721173524856522</v>
      </c>
      <c r="I32">
        <f t="shared" si="1"/>
        <v>1.3137569788643139E-2</v>
      </c>
    </row>
    <row r="33" spans="1:9" x14ac:dyDescent="0.2">
      <c r="A33" t="s">
        <v>67</v>
      </c>
      <c r="B33" t="s">
        <v>246</v>
      </c>
      <c r="C33">
        <v>0.31120422482490501</v>
      </c>
      <c r="D33">
        <v>0.27659431099891602</v>
      </c>
      <c r="E33">
        <v>0.34206518530845598</v>
      </c>
      <c r="F33">
        <v>0.26391541957855202</v>
      </c>
      <c r="G33">
        <v>0.34114959836006098</v>
      </c>
      <c r="H33">
        <f t="shared" si="0"/>
        <v>0.30698574781417798</v>
      </c>
      <c r="I33">
        <f t="shared" si="1"/>
        <v>3.6035481727552589E-2</v>
      </c>
    </row>
    <row r="34" spans="1:9" x14ac:dyDescent="0.2">
      <c r="A34" t="s">
        <v>69</v>
      </c>
      <c r="B34" t="s">
        <v>247</v>
      </c>
      <c r="C34">
        <v>0.58998841047286898</v>
      </c>
      <c r="D34">
        <v>0.73813658952713002</v>
      </c>
      <c r="E34">
        <v>0.67826968431472701</v>
      </c>
      <c r="F34">
        <v>0.51536458730697599</v>
      </c>
      <c r="G34">
        <v>0.58712381124496404</v>
      </c>
      <c r="H34">
        <f t="shared" si="0"/>
        <v>0.62177661657333316</v>
      </c>
      <c r="I34">
        <f t="shared" si="1"/>
        <v>8.6985540386660593E-2</v>
      </c>
    </row>
    <row r="35" spans="1:9" x14ac:dyDescent="0.2">
      <c r="A35" t="s">
        <v>70</v>
      </c>
      <c r="B35" t="s">
        <v>248</v>
      </c>
      <c r="C35">
        <v>0.25457873940467801</v>
      </c>
      <c r="D35">
        <v>0.236263737082481</v>
      </c>
      <c r="E35">
        <v>0.27380952239036499</v>
      </c>
      <c r="F35">
        <v>0.18086081743240301</v>
      </c>
      <c r="G35">
        <v>0.30860805511474598</v>
      </c>
      <c r="H35">
        <f t="shared" si="0"/>
        <v>0.25082417428493459</v>
      </c>
      <c r="I35">
        <f t="shared" si="1"/>
        <v>4.7403263347899752E-2</v>
      </c>
    </row>
    <row r="36" spans="1:9" x14ac:dyDescent="0.2">
      <c r="A36" t="s">
        <v>72</v>
      </c>
      <c r="B36" t="s">
        <v>249</v>
      </c>
      <c r="C36">
        <v>0.173098400235176</v>
      </c>
      <c r="D36">
        <v>0.13288031518459301</v>
      </c>
      <c r="E36">
        <v>0.24065655469894401</v>
      </c>
      <c r="F36">
        <v>0.18036703765392301</v>
      </c>
      <c r="G36">
        <v>0.17969495058059601</v>
      </c>
      <c r="H36">
        <f t="shared" si="0"/>
        <v>0.18133945167064641</v>
      </c>
      <c r="I36">
        <f t="shared" si="1"/>
        <v>3.853041500639709E-2</v>
      </c>
    </row>
    <row r="37" spans="1:9" x14ac:dyDescent="0.2">
      <c r="A37" t="s">
        <v>74</v>
      </c>
      <c r="B37" t="s">
        <v>250</v>
      </c>
      <c r="C37">
        <v>0.21875</v>
      </c>
      <c r="D37">
        <v>0.21875</v>
      </c>
      <c r="E37">
        <v>0.19444443285465199</v>
      </c>
      <c r="F37">
        <v>0.21875</v>
      </c>
      <c r="G37">
        <v>0.21875</v>
      </c>
      <c r="H37">
        <f t="shared" si="0"/>
        <v>0.21388888657093039</v>
      </c>
      <c r="I37">
        <f t="shared" si="1"/>
        <v>1.0869780073736733E-2</v>
      </c>
    </row>
    <row r="38" spans="1:9" x14ac:dyDescent="0.2">
      <c r="A38" t="s">
        <v>76</v>
      </c>
      <c r="B38" t="s">
        <v>251</v>
      </c>
      <c r="C38">
        <v>0.34111952781677202</v>
      </c>
      <c r="D38">
        <v>0.36589452624320901</v>
      </c>
      <c r="E38">
        <v>0.382786184549331</v>
      </c>
      <c r="F38">
        <v>0.19515667855739499</v>
      </c>
      <c r="G38">
        <v>0.31986534595489502</v>
      </c>
      <c r="H38">
        <f t="shared" si="0"/>
        <v>0.32096445262432038</v>
      </c>
      <c r="I38">
        <f t="shared" si="1"/>
        <v>7.428941573462082E-2</v>
      </c>
    </row>
    <row r="39" spans="1:9" x14ac:dyDescent="0.2">
      <c r="A39" t="s">
        <v>78</v>
      </c>
      <c r="B39" t="s">
        <v>252</v>
      </c>
      <c r="C39">
        <v>0.28564813733100802</v>
      </c>
      <c r="D39">
        <v>0.28912034630775402</v>
      </c>
      <c r="E39">
        <v>0.261111110448837</v>
      </c>
      <c r="F39">
        <v>0.28912034630775402</v>
      </c>
      <c r="G39">
        <v>0.28564813733100802</v>
      </c>
      <c r="H39">
        <f t="shared" si="0"/>
        <v>0.28212961554527227</v>
      </c>
      <c r="I39">
        <f t="shared" si="1"/>
        <v>1.1877270107113069E-2</v>
      </c>
    </row>
    <row r="40" spans="1:9" x14ac:dyDescent="0.2">
      <c r="A40" t="s">
        <v>79</v>
      </c>
      <c r="B40" t="s">
        <v>253</v>
      </c>
      <c r="C40">
        <v>0.45054712891578602</v>
      </c>
      <c r="D40">
        <v>0.50523293018340998</v>
      </c>
      <c r="E40">
        <v>0.57441079616546598</v>
      </c>
      <c r="F40">
        <v>0.45054712891578602</v>
      </c>
      <c r="G40">
        <v>0.45054712891578602</v>
      </c>
      <c r="H40">
        <f t="shared" si="0"/>
        <v>0.4862570226192468</v>
      </c>
      <c r="I40">
        <f t="shared" si="1"/>
        <v>5.4673490795949381E-2</v>
      </c>
    </row>
    <row r="41" spans="1:9" x14ac:dyDescent="0.2">
      <c r="A41" t="s">
        <v>81</v>
      </c>
      <c r="B41" t="s">
        <v>254</v>
      </c>
      <c r="C41">
        <v>0.229671716690063</v>
      </c>
      <c r="D41">
        <v>0.217276930809021</v>
      </c>
      <c r="E41">
        <v>0.21277356147766099</v>
      </c>
      <c r="F41">
        <v>0.119928449392318</v>
      </c>
      <c r="G41">
        <v>0.15610270202159801</v>
      </c>
      <c r="H41">
        <f t="shared" si="0"/>
        <v>0.18715067207813221</v>
      </c>
      <c r="I41">
        <f t="shared" si="1"/>
        <v>4.705041665236185E-2</v>
      </c>
    </row>
    <row r="42" spans="1:9" x14ac:dyDescent="0.2">
      <c r="A42" t="s">
        <v>83</v>
      </c>
      <c r="B42" t="s">
        <v>255</v>
      </c>
      <c r="C42">
        <v>0.19715909659862499</v>
      </c>
      <c r="D42">
        <v>0.16856062412261899</v>
      </c>
      <c r="E42">
        <v>0.21231059730052901</v>
      </c>
      <c r="F42">
        <v>0.16856062412261899</v>
      </c>
      <c r="G42">
        <v>0.19715909659862499</v>
      </c>
      <c r="H42">
        <f t="shared" si="0"/>
        <v>0.18875000774860337</v>
      </c>
      <c r="I42">
        <f t="shared" si="1"/>
        <v>1.9440610542134189E-2</v>
      </c>
    </row>
    <row r="43" spans="1:9" x14ac:dyDescent="0.2">
      <c r="A43" t="s">
        <v>85</v>
      </c>
      <c r="B43" t="s">
        <v>256</v>
      </c>
      <c r="C43">
        <v>0.10138889402151099</v>
      </c>
      <c r="D43">
        <v>0.103240735828876</v>
      </c>
      <c r="E43">
        <v>0.12916666269302299</v>
      </c>
      <c r="F43">
        <v>7.8703701496124198E-2</v>
      </c>
      <c r="G43">
        <v>0.133333340287208</v>
      </c>
      <c r="H43">
        <f t="shared" si="0"/>
        <v>0.10916666686534844</v>
      </c>
      <c r="I43">
        <f t="shared" si="1"/>
        <v>2.2403295547372741E-2</v>
      </c>
    </row>
    <row r="44" spans="1:9" x14ac:dyDescent="0.2">
      <c r="A44" t="s">
        <v>86</v>
      </c>
      <c r="B44" t="s">
        <v>257</v>
      </c>
      <c r="C44">
        <v>0.23750001192092801</v>
      </c>
      <c r="D44">
        <v>0.13749998807907099</v>
      </c>
      <c r="E44">
        <v>0.227083340287208</v>
      </c>
      <c r="F44">
        <v>0.106250010430812</v>
      </c>
      <c r="G44">
        <v>0.26249998807907099</v>
      </c>
      <c r="H44">
        <f t="shared" si="0"/>
        <v>0.19416666775941799</v>
      </c>
      <c r="I44">
        <f t="shared" si="1"/>
        <v>6.8138058260895071E-2</v>
      </c>
    </row>
    <row r="45" spans="1:9" x14ac:dyDescent="0.2">
      <c r="A45" t="s">
        <v>88</v>
      </c>
      <c r="B45" t="s">
        <v>258</v>
      </c>
      <c r="C45">
        <v>0.26967594027519198</v>
      </c>
      <c r="D45">
        <v>8.8541664183139801E-2</v>
      </c>
      <c r="E45">
        <v>0.114004634320735</v>
      </c>
      <c r="F45">
        <v>0.25520834326744002</v>
      </c>
      <c r="G45">
        <v>9.3171298503875705E-2</v>
      </c>
      <c r="H45">
        <f t="shared" si="0"/>
        <v>0.16412037611007652</v>
      </c>
      <c r="I45">
        <f t="shared" si="1"/>
        <v>9.0410861863879879E-2</v>
      </c>
    </row>
    <row r="46" spans="1:9" x14ac:dyDescent="0.2">
      <c r="A46" t="s">
        <v>89</v>
      </c>
      <c r="B46" t="s">
        <v>258</v>
      </c>
      <c r="C46">
        <v>0.13492062687873799</v>
      </c>
      <c r="D46">
        <v>0.208994701504707</v>
      </c>
      <c r="E46">
        <v>0.116402119398117</v>
      </c>
      <c r="F46">
        <v>9.5238089561462402E-2</v>
      </c>
      <c r="G46">
        <v>0.113756597042083</v>
      </c>
      <c r="H46">
        <f t="shared" si="0"/>
        <v>0.13386242687702146</v>
      </c>
      <c r="I46">
        <f t="shared" si="1"/>
        <v>4.4291434391000195E-2</v>
      </c>
    </row>
    <row r="47" spans="1:9" x14ac:dyDescent="0.2">
      <c r="A47" t="s">
        <v>90</v>
      </c>
      <c r="B47" t="s">
        <v>259</v>
      </c>
      <c r="C47">
        <v>0.32506611943244901</v>
      </c>
      <c r="D47">
        <v>0.332010567188262</v>
      </c>
      <c r="E47">
        <v>0.312499970197677</v>
      </c>
      <c r="F47">
        <v>0.33167988061904902</v>
      </c>
      <c r="G47">
        <v>0.32506611943244901</v>
      </c>
      <c r="H47">
        <f t="shared" si="0"/>
        <v>0.32526453137397721</v>
      </c>
      <c r="I47">
        <f t="shared" si="1"/>
        <v>7.9006085487835827E-3</v>
      </c>
    </row>
    <row r="48" spans="1:9" x14ac:dyDescent="0.2">
      <c r="A48" t="s">
        <v>92</v>
      </c>
      <c r="B48" t="s">
        <v>260</v>
      </c>
      <c r="C48">
        <v>0.37361109256744301</v>
      </c>
      <c r="D48">
        <v>0.37361109256744301</v>
      </c>
      <c r="E48">
        <v>0.247619032859802</v>
      </c>
      <c r="F48">
        <v>0.409126967191696</v>
      </c>
      <c r="G48">
        <v>0.409126967191696</v>
      </c>
      <c r="H48">
        <f t="shared" si="0"/>
        <v>0.362619030475616</v>
      </c>
      <c r="I48">
        <f t="shared" si="1"/>
        <v>6.6694502518708856E-2</v>
      </c>
    </row>
    <row r="49" spans="1:9" x14ac:dyDescent="0.2">
      <c r="A49" t="s">
        <v>93</v>
      </c>
      <c r="B49" t="s">
        <v>261</v>
      </c>
      <c r="C49">
        <v>0.422486782073974</v>
      </c>
      <c r="D49">
        <v>9.2096559703349998E-2</v>
      </c>
      <c r="E49">
        <v>0.35502645373344399</v>
      </c>
      <c r="F49">
        <v>0.51309520006179798</v>
      </c>
      <c r="G49">
        <v>0.41603836417198098</v>
      </c>
      <c r="H49">
        <f t="shared" si="0"/>
        <v>0.35974867194890942</v>
      </c>
      <c r="I49">
        <f t="shared" si="1"/>
        <v>0.15990599592517918</v>
      </c>
    </row>
    <row r="50" spans="1:9" x14ac:dyDescent="0.2">
      <c r="A50" t="s">
        <v>94</v>
      </c>
      <c r="B50" t="s">
        <v>262</v>
      </c>
      <c r="C50">
        <v>0.15833334624767301</v>
      </c>
      <c r="D50">
        <v>0.16388888657093001</v>
      </c>
      <c r="E50">
        <v>0.16388888657093001</v>
      </c>
      <c r="F50">
        <v>0.16666667163372001</v>
      </c>
      <c r="G50">
        <v>0.15833334624767301</v>
      </c>
      <c r="H50">
        <f t="shared" si="0"/>
        <v>0.16222222745418521</v>
      </c>
      <c r="I50">
        <f t="shared" si="1"/>
        <v>3.7267741870344617E-3</v>
      </c>
    </row>
    <row r="51" spans="1:9" x14ac:dyDescent="0.2">
      <c r="A51" t="s">
        <v>96</v>
      </c>
      <c r="B51" t="s">
        <v>263</v>
      </c>
      <c r="C51">
        <v>8.3333335816860199E-2</v>
      </c>
      <c r="D51">
        <v>8.3333335816860199E-2</v>
      </c>
      <c r="E51">
        <v>8.3333335816860199E-2</v>
      </c>
      <c r="F51">
        <v>8.3333335816860199E-2</v>
      </c>
      <c r="G51">
        <v>8.3333335816860199E-2</v>
      </c>
      <c r="H51">
        <f t="shared" si="0"/>
        <v>8.3333335816860199E-2</v>
      </c>
      <c r="I51">
        <f t="shared" si="1"/>
        <v>0</v>
      </c>
    </row>
    <row r="52" spans="1:9" x14ac:dyDescent="0.2">
      <c r="A52" t="s">
        <v>98</v>
      </c>
      <c r="B52" t="s">
        <v>264</v>
      </c>
      <c r="C52">
        <v>8.03571417927742E-2</v>
      </c>
      <c r="D52">
        <v>5.05952388048172E-2</v>
      </c>
      <c r="E52">
        <v>8.03571417927742E-2</v>
      </c>
      <c r="F52">
        <v>0.125</v>
      </c>
      <c r="G52">
        <v>8.03571417927742E-2</v>
      </c>
      <c r="H52">
        <f t="shared" si="0"/>
        <v>8.3333332836627957E-2</v>
      </c>
      <c r="I52">
        <f t="shared" si="1"/>
        <v>2.6619856746080819E-2</v>
      </c>
    </row>
    <row r="53" spans="1:9" x14ac:dyDescent="0.2">
      <c r="A53" t="s">
        <v>100</v>
      </c>
      <c r="B53" t="s">
        <v>265</v>
      </c>
      <c r="C53">
        <v>0</v>
      </c>
      <c r="D53">
        <v>4.1666667908430099E-2</v>
      </c>
      <c r="E53">
        <v>1.38888908550143E-2</v>
      </c>
      <c r="F53">
        <v>0</v>
      </c>
      <c r="G53">
        <v>0</v>
      </c>
      <c r="H53">
        <f t="shared" si="0"/>
        <v>1.111111175268888E-2</v>
      </c>
      <c r="I53">
        <f t="shared" si="1"/>
        <v>1.8108896169218829E-2</v>
      </c>
    </row>
    <row r="54" spans="1:9" x14ac:dyDescent="0.2">
      <c r="A54" t="s">
        <v>101</v>
      </c>
      <c r="B54" t="s">
        <v>265</v>
      </c>
      <c r="C54">
        <v>0.40277776122093201</v>
      </c>
      <c r="D54">
        <v>0.524652779102325</v>
      </c>
      <c r="E54">
        <v>0.524652779102325</v>
      </c>
      <c r="F54">
        <v>0.52048611640930098</v>
      </c>
      <c r="G54">
        <v>0.29930555820464999</v>
      </c>
      <c r="H54">
        <f t="shared" si="0"/>
        <v>0.45437499880790655</v>
      </c>
      <c r="I54">
        <f t="shared" si="1"/>
        <v>0.1011896968721869</v>
      </c>
    </row>
    <row r="55" spans="1:9" x14ac:dyDescent="0.2">
      <c r="A55" t="s">
        <v>103</v>
      </c>
      <c r="B55" t="s">
        <v>266</v>
      </c>
      <c r="C55">
        <v>0.375</v>
      </c>
      <c r="D55">
        <v>0.38020834326744002</v>
      </c>
      <c r="E55">
        <v>0.28541666269302302</v>
      </c>
      <c r="F55">
        <v>0.25</v>
      </c>
      <c r="G55">
        <v>0.27916666865348799</v>
      </c>
      <c r="H55">
        <f t="shared" si="0"/>
        <v>0.31395833492279024</v>
      </c>
      <c r="I55">
        <f t="shared" si="1"/>
        <v>5.9646676736064344E-2</v>
      </c>
    </row>
    <row r="56" spans="1:9" x14ac:dyDescent="0.2">
      <c r="A56" t="s">
        <v>104</v>
      </c>
      <c r="B56" t="s">
        <v>267</v>
      </c>
      <c r="C56">
        <v>0.163541659712791</v>
      </c>
      <c r="D56">
        <v>0.36111107468605003</v>
      </c>
      <c r="E56">
        <v>0.17395831644535001</v>
      </c>
      <c r="F56">
        <v>0.17395831644535001</v>
      </c>
      <c r="G56">
        <v>0.227083340287208</v>
      </c>
      <c r="H56">
        <f t="shared" si="0"/>
        <v>0.2199305415153498</v>
      </c>
      <c r="I56">
        <f t="shared" si="1"/>
        <v>8.2749172840805879E-2</v>
      </c>
    </row>
    <row r="57" spans="1:9" x14ac:dyDescent="0.2">
      <c r="A57" t="s">
        <v>106</v>
      </c>
      <c r="B57" t="s">
        <v>267</v>
      </c>
      <c r="C57">
        <v>0.25</v>
      </c>
      <c r="D57">
        <v>0.25</v>
      </c>
      <c r="E57">
        <v>0.25</v>
      </c>
      <c r="F57">
        <v>0.20833332836627899</v>
      </c>
      <c r="G57">
        <v>0.133333340287208</v>
      </c>
      <c r="H57">
        <f t="shared" si="0"/>
        <v>0.21833333373069735</v>
      </c>
      <c r="I57">
        <f t="shared" si="1"/>
        <v>5.082649961023257E-2</v>
      </c>
    </row>
    <row r="58" spans="1:9" x14ac:dyDescent="0.2">
      <c r="A58" t="s">
        <v>149</v>
      </c>
      <c r="B58" t="s">
        <v>262</v>
      </c>
      <c r="C58">
        <v>0.22222225368022899</v>
      </c>
      <c r="D58">
        <v>0.133333340287208</v>
      </c>
      <c r="E58">
        <v>0.19166666269302299</v>
      </c>
      <c r="F58">
        <v>0.136111110448837</v>
      </c>
      <c r="G58">
        <v>0.17222221195697701</v>
      </c>
      <c r="H58">
        <f t="shared" si="0"/>
        <v>0.17111111581325478</v>
      </c>
      <c r="I58">
        <f t="shared" si="1"/>
        <v>3.7710324035433146E-2</v>
      </c>
    </row>
    <row r="59" spans="1:9" x14ac:dyDescent="0.2">
      <c r="A59" t="s">
        <v>150</v>
      </c>
      <c r="B59" t="s">
        <v>145</v>
      </c>
      <c r="C59">
        <v>0.33333334326744002</v>
      </c>
      <c r="D59">
        <v>0.233333334326744</v>
      </c>
      <c r="E59">
        <v>0.31666666269302302</v>
      </c>
      <c r="F59">
        <v>0.33750000596046398</v>
      </c>
      <c r="G59">
        <v>0.35416665673255898</v>
      </c>
      <c r="H59">
        <f t="shared" si="0"/>
        <v>0.31500000059604599</v>
      </c>
      <c r="I59">
        <f t="shared" si="1"/>
        <v>4.7562093072919878E-2</v>
      </c>
    </row>
    <row r="60" spans="1:9" x14ac:dyDescent="0.2">
      <c r="A60" t="s">
        <v>152</v>
      </c>
      <c r="B60" t="s">
        <v>145</v>
      </c>
      <c r="C60">
        <v>0.108333326876163</v>
      </c>
      <c r="D60">
        <v>9.1666668653488104E-2</v>
      </c>
      <c r="E60">
        <v>9.1666668653488104E-2</v>
      </c>
      <c r="F60">
        <v>0.108333326876163</v>
      </c>
      <c r="G60">
        <v>0.108333326876163</v>
      </c>
      <c r="H60">
        <f t="shared" si="0"/>
        <v>0.10166666358709305</v>
      </c>
      <c r="I60">
        <f t="shared" si="1"/>
        <v>9.1287046667879995E-3</v>
      </c>
    </row>
    <row r="61" spans="1:9" x14ac:dyDescent="0.2">
      <c r="A61" t="s">
        <v>107</v>
      </c>
      <c r="B61" t="s">
        <v>143</v>
      </c>
      <c r="C61">
        <v>9.4444431364536202E-2</v>
      </c>
      <c r="D61">
        <v>0.14999999105930301</v>
      </c>
      <c r="E61">
        <v>8.3333335816860199E-2</v>
      </c>
      <c r="F61">
        <v>0.108333326876163</v>
      </c>
      <c r="G61">
        <v>9.7222231328487396E-2</v>
      </c>
      <c r="H61">
        <f t="shared" si="0"/>
        <v>0.10666666328906996</v>
      </c>
      <c r="I61">
        <f t="shared" si="1"/>
        <v>2.5804938879774305E-2</v>
      </c>
    </row>
    <row r="62" spans="1:9" x14ac:dyDescent="0.2">
      <c r="A62" t="s">
        <v>153</v>
      </c>
      <c r="B62" t="s">
        <v>268</v>
      </c>
      <c r="C62">
        <v>0.29999998211860601</v>
      </c>
      <c r="D62">
        <v>0.29999998211860601</v>
      </c>
      <c r="E62">
        <v>0.29999998211860601</v>
      </c>
      <c r="F62">
        <v>0.29999998211860601</v>
      </c>
      <c r="G62">
        <v>0.29999998211860601</v>
      </c>
      <c r="H62">
        <f t="shared" si="0"/>
        <v>0.29999998211860601</v>
      </c>
      <c r="I62">
        <f t="shared" si="1"/>
        <v>0</v>
      </c>
    </row>
    <row r="63" spans="1:9" x14ac:dyDescent="0.2">
      <c r="A63" t="s">
        <v>215</v>
      </c>
      <c r="B63" t="s">
        <v>268</v>
      </c>
      <c r="C63">
        <v>8.3333335816860199E-2</v>
      </c>
      <c r="D63">
        <v>6.6666670143604195E-2</v>
      </c>
      <c r="E63">
        <v>6.6666670143604195E-2</v>
      </c>
      <c r="F63">
        <v>8.3333335816860199E-2</v>
      </c>
      <c r="G63">
        <v>7.5000002980232197E-2</v>
      </c>
      <c r="H63">
        <f t="shared" si="0"/>
        <v>7.5000002980232197E-2</v>
      </c>
      <c r="I63">
        <f t="shared" si="1"/>
        <v>8.3333328366280018E-3</v>
      </c>
    </row>
    <row r="64" spans="1:9" x14ac:dyDescent="0.2">
      <c r="A64" t="s">
        <v>216</v>
      </c>
      <c r="B64" t="s">
        <v>266</v>
      </c>
      <c r="C64">
        <v>8.6111105978488894E-2</v>
      </c>
      <c r="D64">
        <v>8.6111105978488894E-2</v>
      </c>
      <c r="E64">
        <v>8.6111105978488894E-2</v>
      </c>
      <c r="F64">
        <v>8.6111105978488894E-2</v>
      </c>
      <c r="G64">
        <v>8.6111105978488894E-2</v>
      </c>
      <c r="H64">
        <f t="shared" si="0"/>
        <v>8.6111105978488894E-2</v>
      </c>
      <c r="I64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3215-E11B-EA49-853B-59D1560E8704}">
  <dimension ref="A1:M64"/>
  <sheetViews>
    <sheetView workbookViewId="0">
      <selection activeCell="L10" sqref="L10"/>
    </sheetView>
  </sheetViews>
  <sheetFormatPr baseColWidth="10" defaultRowHeight="16" x14ac:dyDescent="0.2"/>
  <cols>
    <col min="1" max="1" width="6.5" bestFit="1" customWidth="1"/>
    <col min="2" max="2" width="12.83203125" bestFit="1" customWidth="1"/>
    <col min="3" max="7" width="12.1640625" bestFit="1" customWidth="1"/>
  </cols>
  <sheetData>
    <row r="1" spans="1:13" x14ac:dyDescent="0.2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270</v>
      </c>
      <c r="C2">
        <v>0.57660400867462103</v>
      </c>
      <c r="D2">
        <v>0.57462000846862704</v>
      </c>
      <c r="E2">
        <v>0.55592906475067105</v>
      </c>
      <c r="F2">
        <v>0.70511358976364102</v>
      </c>
      <c r="G2">
        <v>0.54845720529556197</v>
      </c>
      <c r="H2">
        <f>AVERAGE(C2:G2)</f>
        <v>0.59214477539062438</v>
      </c>
      <c r="I2">
        <f>STDEV(C2:G2)</f>
        <v>6.4286015945546976E-2</v>
      </c>
      <c r="K2" s="1">
        <v>0</v>
      </c>
      <c r="L2" s="1">
        <f>AVERAGE(H2:H4)</f>
        <v>0.6274836937586461</v>
      </c>
      <c r="M2" s="1">
        <f>AVERAGE(I2:I4)</f>
        <v>5.1816111218544882E-2</v>
      </c>
    </row>
    <row r="3" spans="1:13" x14ac:dyDescent="0.2">
      <c r="A3" t="s">
        <v>9</v>
      </c>
      <c r="B3" t="s">
        <v>270</v>
      </c>
      <c r="C3">
        <v>0.70238494873046797</v>
      </c>
      <c r="D3">
        <v>0.59776985645294101</v>
      </c>
      <c r="E3">
        <v>0.56184178590774503</v>
      </c>
      <c r="F3">
        <v>0.55113065242767301</v>
      </c>
      <c r="G3">
        <v>0.563490390777587</v>
      </c>
      <c r="H3">
        <f t="shared" ref="H3:H64" si="0">AVERAGE(C3:G3)</f>
        <v>0.59532352685928269</v>
      </c>
      <c r="I3">
        <f t="shared" ref="I3:I64" si="1">STDEV(C3:G3)</f>
        <v>6.2360881692833624E-2</v>
      </c>
      <c r="K3" s="1">
        <v>0.05</v>
      </c>
      <c r="L3" s="1">
        <f>AVERAGE(H5:H7)</f>
        <v>0.97323334217071389</v>
      </c>
      <c r="M3" s="1">
        <f>AVERAGE(I5:I7)</f>
        <v>0.29185664276051471</v>
      </c>
    </row>
    <row r="4" spans="1:13" x14ac:dyDescent="0.2">
      <c r="A4" t="s">
        <v>10</v>
      </c>
      <c r="B4" t="s">
        <v>270</v>
      </c>
      <c r="C4">
        <v>0.67703050374984697</v>
      </c>
      <c r="D4">
        <v>0.698114454746246</v>
      </c>
      <c r="E4">
        <v>0.74394130706787098</v>
      </c>
      <c r="F4">
        <v>0.67969745397567705</v>
      </c>
      <c r="G4">
        <v>0.67613017559051503</v>
      </c>
      <c r="H4">
        <f t="shared" si="0"/>
        <v>0.69498277902603123</v>
      </c>
      <c r="I4">
        <f t="shared" si="1"/>
        <v>2.8801436017254031E-2</v>
      </c>
      <c r="K4" s="1">
        <v>0.1</v>
      </c>
      <c r="L4" s="1">
        <f>AVERAGE(H8:H10)</f>
        <v>1.2337846398353554</v>
      </c>
      <c r="M4" s="1">
        <f>AVERAGE(I8:I10)</f>
        <v>0.20960655916900825</v>
      </c>
    </row>
    <row r="5" spans="1:13" x14ac:dyDescent="0.2">
      <c r="A5" t="s">
        <v>11</v>
      </c>
      <c r="B5" t="s">
        <v>271</v>
      </c>
      <c r="C5">
        <v>0.64763593673705999</v>
      </c>
      <c r="D5">
        <v>1.7484831809997501</v>
      </c>
      <c r="E5">
        <v>0.68186199665069502</v>
      </c>
      <c r="F5">
        <v>1.29057681560516</v>
      </c>
      <c r="G5">
        <v>1.1770335435867301</v>
      </c>
      <c r="H5">
        <f t="shared" si="0"/>
        <v>1.1091182947158791</v>
      </c>
      <c r="I5">
        <f t="shared" si="1"/>
        <v>0.4587594807214776</v>
      </c>
      <c r="K5" s="1">
        <v>0.15</v>
      </c>
      <c r="L5" s="1">
        <f>AVERAGE(H11:H13)</f>
        <v>1.4190042853355365</v>
      </c>
      <c r="M5" s="1">
        <f>AVERAGE(I11:I13)</f>
        <v>8.0658105999170879E-2</v>
      </c>
    </row>
    <row r="6" spans="1:13" x14ac:dyDescent="0.2">
      <c r="A6" t="s">
        <v>13</v>
      </c>
      <c r="B6" t="s">
        <v>272</v>
      </c>
      <c r="C6">
        <v>0.67782002687454201</v>
      </c>
      <c r="D6">
        <v>0.97043907642364502</v>
      </c>
      <c r="E6">
        <v>0.68642455339431696</v>
      </c>
      <c r="F6">
        <v>0.71397221088409402</v>
      </c>
      <c r="G6">
        <v>1.0326294898986801</v>
      </c>
      <c r="H6">
        <f t="shared" si="0"/>
        <v>0.81625707149505566</v>
      </c>
      <c r="I6">
        <f t="shared" si="1"/>
        <v>0.17107937111139193</v>
      </c>
      <c r="K6" s="1">
        <v>0.2</v>
      </c>
      <c r="L6" s="1">
        <f>AVERAGE(H14:H16)</f>
        <v>1.3910502036412531</v>
      </c>
      <c r="M6" s="1">
        <f>AVERAGE(I14:I16)</f>
        <v>0.1500878916028863</v>
      </c>
    </row>
    <row r="7" spans="1:13" x14ac:dyDescent="0.2">
      <c r="A7" t="s">
        <v>15</v>
      </c>
      <c r="B7" t="s">
        <v>273</v>
      </c>
      <c r="C7">
        <v>1.2356644868850699</v>
      </c>
      <c r="D7">
        <v>0.79507082700729304</v>
      </c>
      <c r="E7">
        <v>1.1472008228302</v>
      </c>
      <c r="F7">
        <v>1.1218011379241899</v>
      </c>
      <c r="G7">
        <v>0.671886026859283</v>
      </c>
      <c r="H7">
        <f t="shared" si="0"/>
        <v>0.99432466030120703</v>
      </c>
      <c r="I7">
        <f t="shared" si="1"/>
        <v>0.24573107644867467</v>
      </c>
      <c r="K7" s="1">
        <v>0.25</v>
      </c>
      <c r="L7" s="1">
        <f>AVERAGE(H17:H19)</f>
        <v>1.8419094284375461</v>
      </c>
      <c r="M7" s="1">
        <f>AVERAGE(I17:I19)</f>
        <v>0.21187221099641626</v>
      </c>
    </row>
    <row r="8" spans="1:13" x14ac:dyDescent="0.2">
      <c r="A8" t="s">
        <v>17</v>
      </c>
      <c r="B8" t="s">
        <v>274</v>
      </c>
      <c r="C8">
        <v>1.92434453964233</v>
      </c>
      <c r="D8">
        <v>1.8735035657882599</v>
      </c>
      <c r="E8">
        <v>2.3772325515746999</v>
      </c>
      <c r="F8">
        <v>1.39931535720825</v>
      </c>
      <c r="G8">
        <v>1.8636099100112899</v>
      </c>
      <c r="H8">
        <f t="shared" si="0"/>
        <v>1.8876011848449661</v>
      </c>
      <c r="I8">
        <f t="shared" si="1"/>
        <v>0.34651346402754557</v>
      </c>
      <c r="K8" s="1">
        <v>0.3</v>
      </c>
      <c r="L8" s="1">
        <f>AVERAGE(H20:H22)</f>
        <v>2.537625281016028</v>
      </c>
      <c r="M8" s="1">
        <f>AVERAGE(I20:I22)</f>
        <v>0.60729767966951764</v>
      </c>
    </row>
    <row r="9" spans="1:13" x14ac:dyDescent="0.2">
      <c r="A9" t="s">
        <v>19</v>
      </c>
      <c r="B9" t="s">
        <v>275</v>
      </c>
      <c r="C9">
        <v>0.84137493371963501</v>
      </c>
      <c r="D9">
        <v>0.83637374639511097</v>
      </c>
      <c r="E9">
        <v>1.2229516506195</v>
      </c>
      <c r="F9">
        <v>1.17923367023468</v>
      </c>
      <c r="G9">
        <v>0.79255694150924605</v>
      </c>
      <c r="H9">
        <f t="shared" si="0"/>
        <v>0.97449818849563441</v>
      </c>
      <c r="I9">
        <f t="shared" si="1"/>
        <v>0.20829577536939656</v>
      </c>
      <c r="K9" s="1">
        <v>0.35</v>
      </c>
      <c r="L9" s="1">
        <f>AVERAGE(H23:H25)</f>
        <v>1.6844171206156353</v>
      </c>
      <c r="M9" s="1">
        <f>AVERAGE(I23:I25)</f>
        <v>0.2682827947155082</v>
      </c>
    </row>
    <row r="10" spans="1:13" x14ac:dyDescent="0.2">
      <c r="A10" t="s">
        <v>21</v>
      </c>
      <c r="B10" t="s">
        <v>276</v>
      </c>
      <c r="C10">
        <v>0.77574962377548196</v>
      </c>
      <c r="D10">
        <v>0.92434853315353305</v>
      </c>
      <c r="E10">
        <v>0.76551294326782204</v>
      </c>
      <c r="F10">
        <v>0.82152128219604403</v>
      </c>
      <c r="G10">
        <v>0.90914034843444802</v>
      </c>
      <c r="H10">
        <f t="shared" si="0"/>
        <v>0.8392545461654658</v>
      </c>
      <c r="I10">
        <f t="shared" si="1"/>
        <v>7.4010438110082621E-2</v>
      </c>
      <c r="K10" s="1">
        <v>0.4</v>
      </c>
      <c r="L10" s="1">
        <f>AVERAGE(H26:H28)</f>
        <v>2.1151966651280669</v>
      </c>
      <c r="M10" s="1">
        <f>AVERAGE(I26:I28)</f>
        <v>0.40742742441207763</v>
      </c>
    </row>
    <row r="11" spans="1:13" x14ac:dyDescent="0.2">
      <c r="A11" t="s">
        <v>23</v>
      </c>
      <c r="B11" t="s">
        <v>277</v>
      </c>
      <c r="C11">
        <v>1.1616966724395701</v>
      </c>
      <c r="D11">
        <v>1.1578627824783301</v>
      </c>
      <c r="E11">
        <v>1.21126449108123</v>
      </c>
      <c r="F11">
        <v>1.0987057685852</v>
      </c>
      <c r="G11">
        <v>1.1718662977218599</v>
      </c>
      <c r="H11">
        <f t="shared" si="0"/>
        <v>1.1602792024612381</v>
      </c>
      <c r="I11">
        <f t="shared" si="1"/>
        <v>4.0413167712401339E-2</v>
      </c>
      <c r="K11" s="1">
        <v>0.45</v>
      </c>
      <c r="L11" s="1">
        <f>AVERAGE(H29:H31)</f>
        <v>1.5130851268768259</v>
      </c>
      <c r="M11" s="1">
        <f>AVERAGE(I29:I31)</f>
        <v>0.19447917293503825</v>
      </c>
    </row>
    <row r="12" spans="1:13" x14ac:dyDescent="0.2">
      <c r="A12" t="s">
        <v>25</v>
      </c>
      <c r="B12" t="s">
        <v>278</v>
      </c>
      <c r="C12">
        <v>0.93911290168762196</v>
      </c>
      <c r="D12">
        <v>1.21807754039764</v>
      </c>
      <c r="E12">
        <v>0.85109066963195801</v>
      </c>
      <c r="F12">
        <v>0.92132741212844804</v>
      </c>
      <c r="G12">
        <v>1.10707736015319</v>
      </c>
      <c r="H12">
        <f t="shared" si="0"/>
        <v>1.0073371767997716</v>
      </c>
      <c r="I12">
        <f t="shared" si="1"/>
        <v>0.15068577185676119</v>
      </c>
      <c r="K12" s="1">
        <v>0.5</v>
      </c>
      <c r="L12" s="1">
        <f>AVERAGE(H32:H34)</f>
        <v>2.023968927065527</v>
      </c>
      <c r="M12" s="1">
        <f>AVERAGE(I32:I34)</f>
        <v>0.24059232878190062</v>
      </c>
    </row>
    <row r="13" spans="1:13" x14ac:dyDescent="0.2">
      <c r="A13" t="s">
        <v>27</v>
      </c>
      <c r="B13" t="s">
        <v>279</v>
      </c>
      <c r="C13">
        <v>2.0300865173339799</v>
      </c>
      <c r="D13">
        <v>2.0394432544708199</v>
      </c>
      <c r="E13">
        <v>2.1160607337951598</v>
      </c>
      <c r="F13">
        <v>2.1411349773406898</v>
      </c>
      <c r="G13">
        <v>2.12025690078735</v>
      </c>
      <c r="H13">
        <f t="shared" si="0"/>
        <v>2.0893964767455997</v>
      </c>
      <c r="I13">
        <f t="shared" si="1"/>
        <v>5.0875378428350132E-2</v>
      </c>
      <c r="K13" s="1">
        <v>0.55000000000000004</v>
      </c>
      <c r="L13" s="1">
        <f>AVERAGE(H35:H37)</f>
        <v>1.5736858129501285</v>
      </c>
      <c r="M13" s="1">
        <f>AVERAGE(I35:I37)</f>
        <v>0.13167930726485794</v>
      </c>
    </row>
    <row r="14" spans="1:13" x14ac:dyDescent="0.2">
      <c r="A14" t="s">
        <v>29</v>
      </c>
      <c r="B14" t="s">
        <v>280</v>
      </c>
      <c r="C14">
        <v>0.95871084928512496</v>
      </c>
      <c r="D14">
        <v>0.94032263755798295</v>
      </c>
      <c r="E14">
        <v>0.95405972003936701</v>
      </c>
      <c r="F14">
        <v>0.91467726230621305</v>
      </c>
      <c r="G14">
        <v>0.90492182970046997</v>
      </c>
      <c r="H14">
        <f t="shared" si="0"/>
        <v>0.93453845977783168</v>
      </c>
      <c r="I14">
        <f t="shared" si="1"/>
        <v>2.3824633635321724E-2</v>
      </c>
      <c r="K14" s="1">
        <v>0.6</v>
      </c>
      <c r="L14" s="1">
        <f>AVERAGE(H38:H40)</f>
        <v>1.926662182807916</v>
      </c>
      <c r="M14" s="1">
        <f>AVERAGE(I38:I40)</f>
        <v>0.18885775432059951</v>
      </c>
    </row>
    <row r="15" spans="1:13" x14ac:dyDescent="0.2">
      <c r="A15" t="s">
        <v>31</v>
      </c>
      <c r="B15" t="s">
        <v>195</v>
      </c>
      <c r="C15">
        <v>1.5412569046020499</v>
      </c>
      <c r="D15">
        <v>1.9040180444717401</v>
      </c>
      <c r="E15">
        <v>1.4140142202377299</v>
      </c>
      <c r="F15">
        <v>1.7373347282409599</v>
      </c>
      <c r="G15">
        <v>1.55606436729431</v>
      </c>
      <c r="H15">
        <f t="shared" si="0"/>
        <v>1.6305376529693578</v>
      </c>
      <c r="I15">
        <f t="shared" si="1"/>
        <v>0.19143984633104469</v>
      </c>
      <c r="K15" s="1">
        <v>0.65</v>
      </c>
      <c r="L15" s="1" t="e">
        <f>AVERAGE(H41:H43)</f>
        <v>#DIV/0!</v>
      </c>
      <c r="M15" s="1" t="e">
        <f>AVERAGE(I41:I43)</f>
        <v>#DIV/0!</v>
      </c>
    </row>
    <row r="16" spans="1:13" x14ac:dyDescent="0.2">
      <c r="A16" t="s">
        <v>33</v>
      </c>
      <c r="B16" t="s">
        <v>281</v>
      </c>
      <c r="C16">
        <v>1.3759249448776201</v>
      </c>
      <c r="D16">
        <v>1.8514659404754601</v>
      </c>
      <c r="E16">
        <v>1.4158008098602199</v>
      </c>
      <c r="F16">
        <v>1.5336506366729701</v>
      </c>
      <c r="G16">
        <v>1.86353015899658</v>
      </c>
      <c r="H16">
        <f t="shared" si="0"/>
        <v>1.60807449817657</v>
      </c>
      <c r="I16">
        <f t="shared" si="1"/>
        <v>0.23499919484229248</v>
      </c>
      <c r="K16" s="1">
        <v>0.7</v>
      </c>
      <c r="L16" s="1" t="e">
        <f>AVERAGE(H44:H46)</f>
        <v>#DIV/0!</v>
      </c>
      <c r="M16" s="1" t="e">
        <f>AVERAGE(I44:I46)</f>
        <v>#DIV/0!</v>
      </c>
    </row>
    <row r="17" spans="1:13" x14ac:dyDescent="0.2">
      <c r="A17" t="s">
        <v>35</v>
      </c>
      <c r="B17" t="s">
        <v>282</v>
      </c>
      <c r="C17">
        <v>2.5639739036560001</v>
      </c>
      <c r="D17">
        <v>2.5558958053588801</v>
      </c>
      <c r="E17">
        <v>2.5510401725768999</v>
      </c>
      <c r="F17">
        <v>2.5558266639709402</v>
      </c>
      <c r="G17">
        <v>2.55262875556945</v>
      </c>
      <c r="H17">
        <f t="shared" si="0"/>
        <v>2.5558730602264341</v>
      </c>
      <c r="I17">
        <f t="shared" si="1"/>
        <v>4.9877011228687687E-3</v>
      </c>
      <c r="K17" s="1">
        <v>0.75</v>
      </c>
      <c r="L17" s="1" t="e">
        <f>AVERAGE(H47:H49)</f>
        <v>#DIV/0!</v>
      </c>
      <c r="M17" s="1" t="e">
        <f>AVERAGE(I47:I49)</f>
        <v>#DIV/0!</v>
      </c>
    </row>
    <row r="18" spans="1:13" x14ac:dyDescent="0.2">
      <c r="A18" t="s">
        <v>37</v>
      </c>
      <c r="B18" t="s">
        <v>36</v>
      </c>
      <c r="C18">
        <v>1.2050923109054501</v>
      </c>
      <c r="D18">
        <v>1.3447778224945</v>
      </c>
      <c r="E18">
        <v>1.4518573284149101</v>
      </c>
      <c r="F18">
        <v>0.97331577539443903</v>
      </c>
      <c r="G18">
        <v>2.3150365352630602</v>
      </c>
      <c r="H18">
        <f t="shared" si="0"/>
        <v>1.4580159544944717</v>
      </c>
      <c r="I18">
        <f t="shared" si="1"/>
        <v>0.51143174329056684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283</v>
      </c>
      <c r="C19">
        <v>1.5047261714935301</v>
      </c>
      <c r="D19">
        <v>1.3503328561782799</v>
      </c>
      <c r="E19">
        <v>1.55317950248718</v>
      </c>
      <c r="F19">
        <v>1.47328317165374</v>
      </c>
      <c r="G19">
        <v>1.67767465114593</v>
      </c>
      <c r="H19">
        <f t="shared" si="0"/>
        <v>1.5118392705917318</v>
      </c>
      <c r="I19">
        <f t="shared" si="1"/>
        <v>0.11919718857581317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169</v>
      </c>
      <c r="C20">
        <v>2.1710138320922798</v>
      </c>
      <c r="D20">
        <v>2.1569943428039502</v>
      </c>
      <c r="E20">
        <v>2.1782126426696702</v>
      </c>
      <c r="F20">
        <v>2.1978869438171298</v>
      </c>
      <c r="G20">
        <v>2.1747679710388099</v>
      </c>
      <c r="H20">
        <f t="shared" si="0"/>
        <v>2.175775146484368</v>
      </c>
      <c r="I20">
        <f t="shared" si="1"/>
        <v>1.4758692971765236E-2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284</v>
      </c>
      <c r="C21">
        <v>1.70724868774414</v>
      </c>
      <c r="D21">
        <v>1.70295214653015</v>
      </c>
      <c r="E21">
        <v>5.16060447692871</v>
      </c>
      <c r="F21">
        <v>3.5057206153869598</v>
      </c>
      <c r="G21">
        <v>3.8132400512695299</v>
      </c>
      <c r="H21">
        <f t="shared" si="0"/>
        <v>3.1779531955718978</v>
      </c>
      <c r="I21">
        <f t="shared" si="1"/>
        <v>1.4815976864519744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285</v>
      </c>
      <c r="C22">
        <v>2.3284912109375</v>
      </c>
      <c r="D22">
        <v>2.4967703819274898</v>
      </c>
      <c r="E22">
        <v>2.0079774856567298</v>
      </c>
      <c r="F22">
        <v>1.8452568054199201</v>
      </c>
      <c r="G22">
        <v>2.6172416210174498</v>
      </c>
      <c r="H22">
        <f t="shared" si="0"/>
        <v>2.2591475009918178</v>
      </c>
      <c r="I22">
        <f t="shared" si="1"/>
        <v>0.3255366595848132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286</v>
      </c>
      <c r="C23">
        <v>1.2213045358657799</v>
      </c>
      <c r="D23">
        <v>1.87180483341217</v>
      </c>
      <c r="E23">
        <v>1.36593377590179</v>
      </c>
      <c r="F23">
        <v>1.1804400682449301</v>
      </c>
      <c r="G23">
        <v>1.7453269958496</v>
      </c>
      <c r="H23">
        <f t="shared" si="0"/>
        <v>1.4769620418548541</v>
      </c>
      <c r="I23">
        <f t="shared" si="1"/>
        <v>0.31366140008773691</v>
      </c>
    </row>
    <row r="24" spans="1:13" x14ac:dyDescent="0.2">
      <c r="A24" t="s">
        <v>49</v>
      </c>
      <c r="B24" t="s">
        <v>135</v>
      </c>
      <c r="C24">
        <v>2.1113798618316602</v>
      </c>
      <c r="D24">
        <v>1.60879755020141</v>
      </c>
      <c r="E24">
        <v>1.78178739547729</v>
      </c>
      <c r="F24">
        <v>2.1000401973724299</v>
      </c>
      <c r="G24">
        <v>1.64977514743804</v>
      </c>
      <c r="H24">
        <f t="shared" si="0"/>
        <v>1.850356030464166</v>
      </c>
      <c r="I24">
        <f t="shared" si="1"/>
        <v>0.24174390968171008</v>
      </c>
    </row>
    <row r="25" spans="1:13" x14ac:dyDescent="0.2">
      <c r="A25" t="s">
        <v>51</v>
      </c>
      <c r="B25" t="s">
        <v>287</v>
      </c>
      <c r="C25">
        <v>1.4217295646667401</v>
      </c>
      <c r="D25">
        <v>1.92526972293853</v>
      </c>
      <c r="E25">
        <v>1.87488329410552</v>
      </c>
      <c r="F25">
        <v>1.9200570583343499</v>
      </c>
      <c r="G25">
        <v>1.48772680759429</v>
      </c>
      <c r="H25">
        <f t="shared" si="0"/>
        <v>1.725933289527886</v>
      </c>
      <c r="I25">
        <f t="shared" si="1"/>
        <v>0.24944307437707761</v>
      </c>
    </row>
    <row r="26" spans="1:13" x14ac:dyDescent="0.2">
      <c r="A26" t="s">
        <v>53</v>
      </c>
      <c r="B26" t="s">
        <v>174</v>
      </c>
      <c r="C26">
        <v>1.9211539030075</v>
      </c>
      <c r="D26">
        <v>1.50227427482604</v>
      </c>
      <c r="E26">
        <v>1.83279764652252</v>
      </c>
      <c r="F26">
        <v>2.0677404403686501</v>
      </c>
      <c r="G26">
        <v>1.9773038625717101</v>
      </c>
      <c r="H26">
        <f t="shared" si="0"/>
        <v>1.8602540254592839</v>
      </c>
      <c r="I26">
        <f t="shared" si="1"/>
        <v>0.21757954087708914</v>
      </c>
    </row>
    <row r="27" spans="1:13" x14ac:dyDescent="0.2">
      <c r="A27" t="s">
        <v>55</v>
      </c>
      <c r="B27" t="s">
        <v>138</v>
      </c>
      <c r="C27">
        <v>1.5131874084472601</v>
      </c>
      <c r="D27">
        <v>1.63292467594146</v>
      </c>
      <c r="E27">
        <v>1.5242685079574501</v>
      </c>
      <c r="F27">
        <v>1.50423884391784</v>
      </c>
      <c r="G27">
        <v>1.4783475399017301</v>
      </c>
      <c r="H27">
        <f t="shared" si="0"/>
        <v>1.5305933952331479</v>
      </c>
      <c r="I27">
        <f t="shared" si="1"/>
        <v>5.9663337487913762E-2</v>
      </c>
    </row>
    <row r="28" spans="1:13" x14ac:dyDescent="0.2">
      <c r="A28" t="s">
        <v>57</v>
      </c>
      <c r="B28" t="s">
        <v>205</v>
      </c>
      <c r="C28">
        <v>3.3814554214477499</v>
      </c>
      <c r="D28">
        <v>3.37620520591735</v>
      </c>
      <c r="E28">
        <v>3.3760673999786301</v>
      </c>
      <c r="F28">
        <v>3.3757748603820801</v>
      </c>
      <c r="G28">
        <v>1.26420998573303</v>
      </c>
      <c r="H28">
        <f t="shared" si="0"/>
        <v>2.9547425746917684</v>
      </c>
      <c r="I28">
        <f t="shared" si="1"/>
        <v>0.94503939487123001</v>
      </c>
    </row>
    <row r="29" spans="1:13" x14ac:dyDescent="0.2">
      <c r="A29" t="s">
        <v>59</v>
      </c>
      <c r="B29" t="s">
        <v>211</v>
      </c>
      <c r="C29">
        <v>1.2634979486465401</v>
      </c>
      <c r="D29">
        <v>1.76133608818054</v>
      </c>
      <c r="E29">
        <v>1.7459236383438099</v>
      </c>
      <c r="F29">
        <v>1.7662868499755799</v>
      </c>
      <c r="G29">
        <v>1.7438942193984901</v>
      </c>
      <c r="H29">
        <f t="shared" si="0"/>
        <v>1.656187748908992</v>
      </c>
      <c r="I29">
        <f t="shared" si="1"/>
        <v>0.21973177931047255</v>
      </c>
    </row>
    <row r="30" spans="1:13" x14ac:dyDescent="0.2">
      <c r="A30" t="s">
        <v>61</v>
      </c>
      <c r="B30" t="s">
        <v>60</v>
      </c>
      <c r="C30">
        <v>1.1019483804702701</v>
      </c>
      <c r="D30">
        <v>1.1797521114349301</v>
      </c>
      <c r="E30">
        <v>1.52821588516235</v>
      </c>
      <c r="F30">
        <v>1.06714940071105</v>
      </c>
      <c r="G30">
        <v>1.63119781017303</v>
      </c>
      <c r="H30">
        <f t="shared" si="0"/>
        <v>1.3016527175903261</v>
      </c>
      <c r="I30">
        <f t="shared" si="1"/>
        <v>0.25964601990912961</v>
      </c>
    </row>
    <row r="31" spans="1:13" x14ac:dyDescent="0.2">
      <c r="A31" t="s">
        <v>63</v>
      </c>
      <c r="B31" t="s">
        <v>68</v>
      </c>
      <c r="C31">
        <v>1.6445618867874101</v>
      </c>
      <c r="D31">
        <v>1.4729800224304199</v>
      </c>
      <c r="E31">
        <v>1.54684746265411</v>
      </c>
      <c r="F31">
        <v>1.5136748552322301</v>
      </c>
      <c r="G31">
        <v>1.72901034355163</v>
      </c>
      <c r="H31">
        <f t="shared" si="0"/>
        <v>1.58141491413116</v>
      </c>
      <c r="I31">
        <f t="shared" si="1"/>
        <v>0.10405971958551261</v>
      </c>
    </row>
    <row r="32" spans="1:13" x14ac:dyDescent="0.2">
      <c r="A32" t="s">
        <v>65</v>
      </c>
      <c r="B32" t="s">
        <v>68</v>
      </c>
      <c r="C32">
        <v>1.93285155296325</v>
      </c>
      <c r="D32">
        <v>1.8247597217559799</v>
      </c>
      <c r="E32">
        <v>2.0147600173950102</v>
      </c>
      <c r="F32">
        <v>1.79425132274627</v>
      </c>
      <c r="G32">
        <v>1.9664051532745299</v>
      </c>
      <c r="H32">
        <f t="shared" si="0"/>
        <v>1.9066055536270077</v>
      </c>
      <c r="I32">
        <f t="shared" si="1"/>
        <v>9.3920772494119745E-2</v>
      </c>
    </row>
    <row r="33" spans="1:9" x14ac:dyDescent="0.2">
      <c r="A33" t="s">
        <v>67</v>
      </c>
      <c r="B33" t="s">
        <v>144</v>
      </c>
      <c r="C33">
        <v>1.2253766059875399</v>
      </c>
      <c r="D33">
        <v>1.1574335098266599</v>
      </c>
      <c r="E33">
        <v>1.62057328224182</v>
      </c>
      <c r="F33">
        <v>0.97721660137176503</v>
      </c>
      <c r="G33">
        <v>1.4460707902908301</v>
      </c>
      <c r="H33">
        <f t="shared" si="0"/>
        <v>1.285334157943723</v>
      </c>
      <c r="I33">
        <f t="shared" si="1"/>
        <v>0.25155091330169232</v>
      </c>
    </row>
    <row r="34" spans="1:9" x14ac:dyDescent="0.2">
      <c r="A34" t="s">
        <v>69</v>
      </c>
      <c r="B34" t="s">
        <v>68</v>
      </c>
      <c r="C34">
        <v>2.21681380271911</v>
      </c>
      <c r="D34">
        <v>2.9670209884643501</v>
      </c>
      <c r="E34">
        <v>3.0817096233367902</v>
      </c>
      <c r="F34">
        <v>3.1315679550170898</v>
      </c>
      <c r="G34">
        <v>3.0027229785919101</v>
      </c>
      <c r="H34">
        <f t="shared" si="0"/>
        <v>2.8799670696258497</v>
      </c>
      <c r="I34">
        <f t="shared" si="1"/>
        <v>0.37630530054988981</v>
      </c>
    </row>
    <row r="35" spans="1:9" x14ac:dyDescent="0.2">
      <c r="A35" t="s">
        <v>70</v>
      </c>
      <c r="B35" t="s">
        <v>177</v>
      </c>
      <c r="C35">
        <v>1.63492143154144</v>
      </c>
      <c r="D35">
        <v>1.58898472785949</v>
      </c>
      <c r="E35">
        <v>1.63932061195373</v>
      </c>
      <c r="F35">
        <v>1.5591616630554199</v>
      </c>
      <c r="G35">
        <v>1.4729592800140301</v>
      </c>
      <c r="H35">
        <f t="shared" si="0"/>
        <v>1.579069542884822</v>
      </c>
      <c r="I35">
        <f t="shared" si="1"/>
        <v>6.8014055990930897E-2</v>
      </c>
    </row>
    <row r="36" spans="1:9" x14ac:dyDescent="0.2">
      <c r="A36" t="s">
        <v>72</v>
      </c>
      <c r="B36" t="s">
        <v>177</v>
      </c>
      <c r="C36">
        <v>1.3421700000762899</v>
      </c>
      <c r="D36">
        <v>1.32490789890289</v>
      </c>
      <c r="E36">
        <v>1.8120920658111499</v>
      </c>
      <c r="F36">
        <v>1.5707961320877</v>
      </c>
      <c r="G36">
        <v>1.3325729370117101</v>
      </c>
      <c r="H36">
        <f t="shared" si="0"/>
        <v>1.476507806777948</v>
      </c>
      <c r="I36">
        <f t="shared" si="1"/>
        <v>0.2140405967990314</v>
      </c>
    </row>
    <row r="37" spans="1:9" x14ac:dyDescent="0.2">
      <c r="A37" t="s">
        <v>74</v>
      </c>
      <c r="B37" t="s">
        <v>213</v>
      </c>
      <c r="C37">
        <v>1.64750444889068</v>
      </c>
      <c r="D37">
        <v>1.54549896717071</v>
      </c>
      <c r="E37">
        <v>1.84996032714843</v>
      </c>
      <c r="F37">
        <v>1.61744832992553</v>
      </c>
      <c r="G37">
        <v>1.6669883728027299</v>
      </c>
      <c r="H37">
        <f t="shared" si="0"/>
        <v>1.6654800891876156</v>
      </c>
      <c r="I37">
        <f t="shared" si="1"/>
        <v>0.11298326900461153</v>
      </c>
    </row>
    <row r="38" spans="1:9" x14ac:dyDescent="0.2">
      <c r="A38" t="s">
        <v>76</v>
      </c>
      <c r="B38" t="s">
        <v>214</v>
      </c>
      <c r="C38">
        <v>2.0158348083496</v>
      </c>
      <c r="D38">
        <v>1.9928442239761299</v>
      </c>
      <c r="E38">
        <v>2.0210542678832999</v>
      </c>
      <c r="F38">
        <v>1.98680067062377</v>
      </c>
      <c r="G38">
        <v>2.0174152851104701</v>
      </c>
      <c r="H38">
        <f t="shared" si="0"/>
        <v>2.0067898511886542</v>
      </c>
      <c r="I38">
        <f t="shared" si="1"/>
        <v>1.5749861409826364E-2</v>
      </c>
    </row>
    <row r="39" spans="1:9" x14ac:dyDescent="0.2">
      <c r="A39" t="s">
        <v>78</v>
      </c>
      <c r="B39" t="s">
        <v>73</v>
      </c>
      <c r="C39">
        <v>1.77016961574554</v>
      </c>
      <c r="D39">
        <v>1.34568226337432</v>
      </c>
      <c r="E39">
        <v>1.3545658588409399</v>
      </c>
      <c r="F39">
        <v>1.33366250991821</v>
      </c>
      <c r="G39">
        <v>1.3747746944427399</v>
      </c>
      <c r="H39">
        <f t="shared" si="0"/>
        <v>1.4357709884643499</v>
      </c>
      <c r="I39">
        <f t="shared" si="1"/>
        <v>0.18753625160780607</v>
      </c>
    </row>
    <row r="40" spans="1:9" x14ac:dyDescent="0.2">
      <c r="A40" t="s">
        <v>79</v>
      </c>
      <c r="B40" t="s">
        <v>73</v>
      </c>
      <c r="C40">
        <v>2.0228807926177899</v>
      </c>
      <c r="D40">
        <v>2.09145736694335</v>
      </c>
      <c r="E40">
        <v>2.1615214347839302</v>
      </c>
      <c r="F40">
        <v>2.5234620571136399</v>
      </c>
      <c r="G40">
        <v>2.8878068923950102</v>
      </c>
      <c r="H40">
        <f t="shared" si="0"/>
        <v>2.337425708770744</v>
      </c>
      <c r="I40">
        <f t="shared" si="1"/>
        <v>0.36328714994416617</v>
      </c>
    </row>
    <row r="41" spans="1:9" x14ac:dyDescent="0.2">
      <c r="A41" t="s">
        <v>81</v>
      </c>
      <c r="B41" t="s">
        <v>84</v>
      </c>
      <c r="H41" t="e">
        <f t="shared" si="0"/>
        <v>#DIV/0!</v>
      </c>
      <c r="I41" t="e">
        <f t="shared" si="1"/>
        <v>#DIV/0!</v>
      </c>
    </row>
    <row r="42" spans="1:9" x14ac:dyDescent="0.2">
      <c r="A42" t="s">
        <v>83</v>
      </c>
      <c r="B42" t="s">
        <v>77</v>
      </c>
      <c r="H42" t="e">
        <f t="shared" si="0"/>
        <v>#DIV/0!</v>
      </c>
      <c r="I42" t="e">
        <f t="shared" si="1"/>
        <v>#DIV/0!</v>
      </c>
    </row>
    <row r="43" spans="1:9" x14ac:dyDescent="0.2">
      <c r="A43" t="s">
        <v>85</v>
      </c>
      <c r="B43" t="s">
        <v>179</v>
      </c>
      <c r="C43">
        <v>1.74159824848175</v>
      </c>
      <c r="D43">
        <v>1.7562770843505799</v>
      </c>
      <c r="E43">
        <v>1.75295853614807</v>
      </c>
      <c r="F43">
        <v>1.65494108200073</v>
      </c>
      <c r="G43">
        <v>1.8778040409088099</v>
      </c>
      <c r="H43">
        <f t="shared" si="0"/>
        <v>1.756715798377988</v>
      </c>
      <c r="I43">
        <f t="shared" si="1"/>
        <v>7.947217308152886E-2</v>
      </c>
    </row>
    <row r="44" spans="1:9" x14ac:dyDescent="0.2">
      <c r="A44" t="s">
        <v>86</v>
      </c>
      <c r="B44" t="s">
        <v>84</v>
      </c>
      <c r="H44" t="e">
        <f t="shared" si="0"/>
        <v>#DIV/0!</v>
      </c>
      <c r="I44" t="e">
        <f t="shared" si="1"/>
        <v>#DIV/0!</v>
      </c>
    </row>
    <row r="45" spans="1:9" x14ac:dyDescent="0.2">
      <c r="A45" t="s">
        <v>88</v>
      </c>
      <c r="B45" t="s">
        <v>288</v>
      </c>
      <c r="H45" t="e">
        <f t="shared" si="0"/>
        <v>#DIV/0!</v>
      </c>
      <c r="I45" t="e">
        <f t="shared" si="1"/>
        <v>#DIV/0!</v>
      </c>
    </row>
    <row r="46" spans="1:9" x14ac:dyDescent="0.2">
      <c r="A46" t="s">
        <v>89</v>
      </c>
      <c r="B46" t="s">
        <v>148</v>
      </c>
      <c r="H46" t="e">
        <f t="shared" si="0"/>
        <v>#DIV/0!</v>
      </c>
      <c r="I46" t="e">
        <f t="shared" si="1"/>
        <v>#DIV/0!</v>
      </c>
    </row>
    <row r="47" spans="1:9" x14ac:dyDescent="0.2">
      <c r="A47" t="s">
        <v>90</v>
      </c>
      <c r="B47" t="s">
        <v>82</v>
      </c>
      <c r="H47" t="e">
        <f t="shared" si="0"/>
        <v>#DIV/0!</v>
      </c>
      <c r="I47" t="e">
        <f t="shared" si="1"/>
        <v>#DIV/0!</v>
      </c>
    </row>
    <row r="48" spans="1:9" x14ac:dyDescent="0.2">
      <c r="A48" t="s">
        <v>92</v>
      </c>
      <c r="B48" t="s">
        <v>148</v>
      </c>
      <c r="H48" t="e">
        <f t="shared" si="0"/>
        <v>#DIV/0!</v>
      </c>
      <c r="I48" t="e">
        <f t="shared" si="1"/>
        <v>#DIV/0!</v>
      </c>
    </row>
    <row r="49" spans="1:9" x14ac:dyDescent="0.2">
      <c r="A49" t="s">
        <v>93</v>
      </c>
      <c r="B49" t="s">
        <v>151</v>
      </c>
      <c r="H49" t="e">
        <f t="shared" si="0"/>
        <v>#DIV/0!</v>
      </c>
      <c r="I49" t="e">
        <f t="shared" si="1"/>
        <v>#DIV/0!</v>
      </c>
    </row>
    <row r="50" spans="1:9" x14ac:dyDescent="0.2">
      <c r="A50" t="s">
        <v>94</v>
      </c>
      <c r="B50" t="s">
        <v>95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87</v>
      </c>
      <c r="H51" t="e">
        <f t="shared" si="0"/>
        <v>#DIV/0!</v>
      </c>
      <c r="I51" t="e">
        <f t="shared" si="1"/>
        <v>#DIV/0!</v>
      </c>
    </row>
    <row r="52" spans="1:9" x14ac:dyDescent="0.2">
      <c r="A52" t="s">
        <v>98</v>
      </c>
      <c r="B52" t="s">
        <v>99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97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91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95</v>
      </c>
      <c r="H55" t="e">
        <f t="shared" si="0"/>
        <v>#DIV/0!</v>
      </c>
      <c r="I55" t="e">
        <f t="shared" si="1"/>
        <v>#DIV/0!</v>
      </c>
    </row>
    <row r="56" spans="1:9" x14ac:dyDescent="0.2">
      <c r="A56" t="s">
        <v>104</v>
      </c>
      <c r="B56" t="s">
        <v>91</v>
      </c>
      <c r="H56" t="e">
        <f t="shared" si="0"/>
        <v>#DIV/0!</v>
      </c>
      <c r="I56" t="e">
        <f t="shared" si="1"/>
        <v>#DIV/0!</v>
      </c>
    </row>
    <row r="57" spans="1:9" x14ac:dyDescent="0.2">
      <c r="A57" t="s">
        <v>106</v>
      </c>
      <c r="B57" t="s">
        <v>97</v>
      </c>
      <c r="H57" t="e">
        <f t="shared" si="0"/>
        <v>#DIV/0!</v>
      </c>
      <c r="I57" t="e">
        <f t="shared" si="1"/>
        <v>#DIV/0!</v>
      </c>
    </row>
    <row r="58" spans="1:9" x14ac:dyDescent="0.2">
      <c r="A58" t="s">
        <v>149</v>
      </c>
      <c r="B58" t="s">
        <v>91</v>
      </c>
      <c r="H58" t="e">
        <f t="shared" si="0"/>
        <v>#DIV/0!</v>
      </c>
      <c r="I58" t="e">
        <f t="shared" si="1"/>
        <v>#DIV/0!</v>
      </c>
    </row>
    <row r="59" spans="1:9" x14ac:dyDescent="0.2">
      <c r="A59" t="s">
        <v>150</v>
      </c>
      <c r="B59" t="s">
        <v>97</v>
      </c>
      <c r="H59" t="e">
        <f t="shared" si="0"/>
        <v>#DIV/0!</v>
      </c>
      <c r="I59" t="e">
        <f t="shared" si="1"/>
        <v>#DIV/0!</v>
      </c>
    </row>
    <row r="60" spans="1:9" x14ac:dyDescent="0.2">
      <c r="A60" t="s">
        <v>152</v>
      </c>
      <c r="B60" t="s">
        <v>95</v>
      </c>
      <c r="H60" t="e">
        <f t="shared" si="0"/>
        <v>#DIV/0!</v>
      </c>
      <c r="I60" t="e">
        <f t="shared" si="1"/>
        <v>#DIV/0!</v>
      </c>
    </row>
    <row r="61" spans="1:9" x14ac:dyDescent="0.2">
      <c r="A61" t="s">
        <v>107</v>
      </c>
      <c r="B61" t="s">
        <v>151</v>
      </c>
      <c r="H61" t="e">
        <f t="shared" si="0"/>
        <v>#DIV/0!</v>
      </c>
      <c r="I61" t="e">
        <f t="shared" si="1"/>
        <v>#DIV/0!</v>
      </c>
    </row>
    <row r="62" spans="1:9" x14ac:dyDescent="0.2">
      <c r="A62" t="s">
        <v>153</v>
      </c>
      <c r="B62" t="s">
        <v>102</v>
      </c>
      <c r="H62" t="e">
        <f t="shared" si="0"/>
        <v>#DIV/0!</v>
      </c>
      <c r="I62" t="e">
        <f t="shared" si="1"/>
        <v>#DIV/0!</v>
      </c>
    </row>
    <row r="63" spans="1:9" x14ac:dyDescent="0.2">
      <c r="A63" t="s">
        <v>215</v>
      </c>
      <c r="B63" t="s">
        <v>105</v>
      </c>
      <c r="H63" t="e">
        <f t="shared" si="0"/>
        <v>#DIV/0!</v>
      </c>
      <c r="I63" t="e">
        <f t="shared" si="1"/>
        <v>#DIV/0!</v>
      </c>
    </row>
    <row r="64" spans="1:9" x14ac:dyDescent="0.2">
      <c r="A64" t="s">
        <v>216</v>
      </c>
      <c r="B64" t="s">
        <v>102</v>
      </c>
      <c r="H64" t="e">
        <f t="shared" si="0"/>
        <v>#DIV/0!</v>
      </c>
      <c r="I64" t="e">
        <f t="shared" si="1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EF9D-523F-4F43-8947-FE5B9625771D}">
  <dimension ref="A1:M64"/>
  <sheetViews>
    <sheetView workbookViewId="0">
      <selection activeCell="L22" sqref="L22"/>
    </sheetView>
  </sheetViews>
  <sheetFormatPr baseColWidth="10" defaultRowHeight="16" x14ac:dyDescent="0.2"/>
  <cols>
    <col min="9" max="9" width="11.33203125" customWidth="1"/>
    <col min="10" max="10" width="11.83203125" bestFit="1" customWidth="1"/>
    <col min="11" max="15" width="12.1640625" bestFit="1" customWidth="1"/>
  </cols>
  <sheetData>
    <row r="1" spans="1:13" x14ac:dyDescent="0.2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289</v>
      </c>
      <c r="C2">
        <v>2.4554693698882999</v>
      </c>
      <c r="D2">
        <v>2.3956699371337802</v>
      </c>
      <c r="E2">
        <v>2.4793701171875</v>
      </c>
      <c r="F2">
        <v>2.4783461093902499</v>
      </c>
      <c r="G2">
        <v>2.4903705120086599</v>
      </c>
      <c r="H2">
        <f>AVERAGE(C2:G2)</f>
        <v>2.4598452091216982</v>
      </c>
      <c r="I2">
        <f>STDEV(C2:G2)</f>
        <v>3.8055594088732422E-2</v>
      </c>
      <c r="K2" s="1">
        <v>0</v>
      </c>
      <c r="L2" s="1">
        <f>AVERAGE(H2:H4)</f>
        <v>2.4080934047698914</v>
      </c>
      <c r="M2" s="1">
        <f>AVERAGE(I2:I4)</f>
        <v>0.13588538778221024</v>
      </c>
    </row>
    <row r="3" spans="1:13" x14ac:dyDescent="0.2">
      <c r="A3" t="s">
        <v>9</v>
      </c>
      <c r="B3" t="s">
        <v>289</v>
      </c>
      <c r="C3">
        <v>2.3020851612090998</v>
      </c>
      <c r="D3">
        <v>2.2947189807891801</v>
      </c>
      <c r="E3">
        <v>2.37362456321716</v>
      </c>
      <c r="F3">
        <v>2.2959492206573402</v>
      </c>
      <c r="G3">
        <v>2.4368896484375</v>
      </c>
      <c r="H3">
        <f t="shared" ref="H3:H64" si="0">AVERAGE(C3:G3)</f>
        <v>2.3406535148620558</v>
      </c>
      <c r="I3">
        <f t="shared" ref="I3:I64" si="1">STDEV(C3:G3)</f>
        <v>6.313568064002871E-2</v>
      </c>
      <c r="K3" s="1">
        <v>0.05</v>
      </c>
      <c r="L3" s="1">
        <f>AVERAGE(H5:H7)</f>
        <v>2.5927895545959436</v>
      </c>
      <c r="M3" s="1">
        <f>AVERAGE(I5:I7)</f>
        <v>9.9109412819815154E-2</v>
      </c>
    </row>
    <row r="4" spans="1:13" x14ac:dyDescent="0.2">
      <c r="A4" t="s">
        <v>10</v>
      </c>
      <c r="B4" t="s">
        <v>289</v>
      </c>
      <c r="C4">
        <v>2.13110923767089</v>
      </c>
      <c r="D4">
        <v>2.4697577953338601</v>
      </c>
      <c r="E4">
        <v>2.4052364826202299</v>
      </c>
      <c r="F4">
        <v>2.2011613845825102</v>
      </c>
      <c r="G4">
        <v>2.9116425514221098</v>
      </c>
      <c r="H4">
        <f t="shared" si="0"/>
        <v>2.4237814903259203</v>
      </c>
      <c r="I4">
        <f t="shared" si="1"/>
        <v>0.30646488861786952</v>
      </c>
      <c r="K4" s="1">
        <v>0.1</v>
      </c>
      <c r="L4" s="1">
        <f>AVERAGE(H8:H10)</f>
        <v>3.6029559771219843</v>
      </c>
      <c r="M4" s="1">
        <f>AVERAGE(I8:I10)</f>
        <v>7.5661305005731289E-2</v>
      </c>
    </row>
    <row r="5" spans="1:13" x14ac:dyDescent="0.2">
      <c r="A5" t="s">
        <v>11</v>
      </c>
      <c r="B5" t="s">
        <v>290</v>
      </c>
      <c r="C5">
        <v>2.6035356521606401</v>
      </c>
      <c r="D5">
        <v>2.6911985874175999</v>
      </c>
      <c r="E5">
        <v>2.6350078582763601</v>
      </c>
      <c r="F5">
        <v>2.67348289489746</v>
      </c>
      <c r="G5">
        <v>2.5810353755950901</v>
      </c>
      <c r="H5">
        <f t="shared" si="0"/>
        <v>2.6368520736694299</v>
      </c>
      <c r="I5">
        <f t="shared" si="1"/>
        <v>4.6163431081618404E-2</v>
      </c>
      <c r="K5" s="1">
        <v>0.15</v>
      </c>
      <c r="L5" s="1">
        <f>AVERAGE(H11:H13)</f>
        <v>3.0500319163004512</v>
      </c>
      <c r="M5" s="1">
        <f>AVERAGE(I11:I13)</f>
        <v>3.5950751619167394E-2</v>
      </c>
    </row>
    <row r="6" spans="1:13" x14ac:dyDescent="0.2">
      <c r="A6" t="s">
        <v>13</v>
      </c>
      <c r="B6" t="s">
        <v>291</v>
      </c>
      <c r="C6">
        <v>2.6996910572052002</v>
      </c>
      <c r="D6">
        <v>2.6752047538757302</v>
      </c>
      <c r="E6">
        <v>2.5653779506683301</v>
      </c>
      <c r="F6">
        <v>2.9058096408843901</v>
      </c>
      <c r="G6">
        <v>2.7759861946105899</v>
      </c>
      <c r="H6">
        <f t="shared" si="0"/>
        <v>2.7244139194488484</v>
      </c>
      <c r="I6">
        <f t="shared" si="1"/>
        <v>0.12638167250471682</v>
      </c>
      <c r="K6" s="1">
        <v>0.2</v>
      </c>
      <c r="L6" s="1">
        <f>AVERAGE(H14:H16)</f>
        <v>3.9830407778421999</v>
      </c>
      <c r="M6" s="1">
        <f>AVERAGE(I14:I16)</f>
        <v>7.50970394917055E-2</v>
      </c>
    </row>
    <row r="7" spans="1:13" x14ac:dyDescent="0.2">
      <c r="A7" t="s">
        <v>15</v>
      </c>
      <c r="B7" t="s">
        <v>292</v>
      </c>
      <c r="C7">
        <v>2.3957960605621298</v>
      </c>
      <c r="D7">
        <v>2.46124267578125</v>
      </c>
      <c r="E7">
        <v>2.2915575504302899</v>
      </c>
      <c r="F7">
        <v>2.3290946483611998</v>
      </c>
      <c r="G7">
        <v>2.6078224182128902</v>
      </c>
      <c r="H7">
        <f t="shared" si="0"/>
        <v>2.4171026706695522</v>
      </c>
      <c r="I7">
        <f t="shared" si="1"/>
        <v>0.12478313487311024</v>
      </c>
      <c r="K7" s="1">
        <v>0.25</v>
      </c>
      <c r="L7" s="1">
        <f>AVERAGE(H17:H19)</f>
        <v>4.5480757872263533</v>
      </c>
      <c r="M7" s="1">
        <f>AVERAGE(I17:I19)</f>
        <v>8.307065914046291E-2</v>
      </c>
    </row>
    <row r="8" spans="1:13" x14ac:dyDescent="0.2">
      <c r="A8" t="s">
        <v>17</v>
      </c>
      <c r="B8" t="s">
        <v>293</v>
      </c>
      <c r="C8">
        <v>4.5723557472229004</v>
      </c>
      <c r="D8">
        <v>4.5573596954345703</v>
      </c>
      <c r="E8">
        <v>4.5530862808227504</v>
      </c>
      <c r="F8">
        <v>4.5856962203979403</v>
      </c>
      <c r="G8">
        <v>4.5573782920837402</v>
      </c>
      <c r="H8">
        <f t="shared" si="0"/>
        <v>4.5651752471923803</v>
      </c>
      <c r="I8">
        <f t="shared" si="1"/>
        <v>1.3607795450795943E-2</v>
      </c>
      <c r="K8" s="1">
        <v>0.3</v>
      </c>
      <c r="L8" s="1">
        <f>AVERAGE(H20:H22)</f>
        <v>4.3545751571655229</v>
      </c>
      <c r="M8" s="1">
        <f>AVERAGE(I20:I22)</f>
        <v>0.2528222081280731</v>
      </c>
    </row>
    <row r="9" spans="1:13" x14ac:dyDescent="0.2">
      <c r="A9" t="s">
        <v>19</v>
      </c>
      <c r="B9" t="s">
        <v>294</v>
      </c>
      <c r="C9">
        <v>3.1848115921020499</v>
      </c>
      <c r="D9">
        <v>3.1090703010559002</v>
      </c>
      <c r="E9">
        <v>3.1999940872192298</v>
      </c>
      <c r="F9">
        <v>3.1774592399597101</v>
      </c>
      <c r="G9">
        <v>3.2842092514038002</v>
      </c>
      <c r="H9">
        <f t="shared" si="0"/>
        <v>3.1911088943481376</v>
      </c>
      <c r="I9">
        <f t="shared" si="1"/>
        <v>6.2655652191401692E-2</v>
      </c>
      <c r="K9" s="1">
        <v>0.35</v>
      </c>
      <c r="L9" s="1">
        <f>AVERAGE(H23:H25)</f>
        <v>5.1219185511271119</v>
      </c>
      <c r="M9" s="1">
        <f>AVERAGE(I23:I25)</f>
        <v>3.4962213566008891E-2</v>
      </c>
    </row>
    <row r="10" spans="1:13" x14ac:dyDescent="0.2">
      <c r="A10" t="s">
        <v>21</v>
      </c>
      <c r="B10" t="s">
        <v>295</v>
      </c>
      <c r="C10">
        <v>3.0093386173248202</v>
      </c>
      <c r="D10">
        <v>2.8607730865478498</v>
      </c>
      <c r="E10">
        <v>3.27203297615051</v>
      </c>
      <c r="F10">
        <v>3.1046895980834899</v>
      </c>
      <c r="G10">
        <v>3.0160846710204998</v>
      </c>
      <c r="H10">
        <f t="shared" si="0"/>
        <v>3.0525837898254338</v>
      </c>
      <c r="I10">
        <f t="shared" si="1"/>
        <v>0.15072046737499623</v>
      </c>
      <c r="K10" s="1">
        <v>0.4</v>
      </c>
      <c r="L10" s="1">
        <f>AVERAGE(H26:H28)</f>
        <v>3.2672931512196826</v>
      </c>
      <c r="M10" s="1">
        <f>AVERAGE(I26:I28)</f>
        <v>3.6804657287722593E-2</v>
      </c>
    </row>
    <row r="11" spans="1:13" x14ac:dyDescent="0.2">
      <c r="A11" t="s">
        <v>23</v>
      </c>
      <c r="B11" t="s">
        <v>296</v>
      </c>
      <c r="C11">
        <v>2.4564945697784402</v>
      </c>
      <c r="D11">
        <v>2.42484307289123</v>
      </c>
      <c r="E11">
        <v>2.4872972965240399</v>
      </c>
      <c r="F11">
        <v>2.4547929763793901</v>
      </c>
      <c r="G11">
        <v>2.5181140899658199</v>
      </c>
      <c r="H11">
        <f t="shared" si="0"/>
        <v>2.4683084011077843</v>
      </c>
      <c r="I11">
        <f t="shared" si="1"/>
        <v>3.5541007530009654E-2</v>
      </c>
      <c r="K11" s="1">
        <v>0.45</v>
      </c>
      <c r="L11" s="1">
        <f>AVERAGE(H29:H31)</f>
        <v>4.2242753028869586</v>
      </c>
      <c r="M11" s="1">
        <f>AVERAGE(I29:I31)</f>
        <v>9.5338770115822924E-2</v>
      </c>
    </row>
    <row r="12" spans="1:13" x14ac:dyDescent="0.2">
      <c r="A12" t="s">
        <v>25</v>
      </c>
      <c r="B12" t="s">
        <v>297</v>
      </c>
      <c r="C12">
        <v>2.7437753677368102</v>
      </c>
      <c r="D12">
        <v>2.79009509086608</v>
      </c>
      <c r="E12">
        <v>2.7844362258911102</v>
      </c>
      <c r="F12">
        <v>2.8376979827880802</v>
      </c>
      <c r="G12">
        <v>2.8854498863220202</v>
      </c>
      <c r="H12">
        <f t="shared" si="0"/>
        <v>2.80829091072082</v>
      </c>
      <c r="I12">
        <f t="shared" si="1"/>
        <v>5.4499248936173861E-2</v>
      </c>
      <c r="K12" s="1">
        <v>0.5</v>
      </c>
      <c r="L12" s="1">
        <f>AVERAGE(H32:H34)</f>
        <v>4.2795912742614703</v>
      </c>
      <c r="M12" s="1">
        <f>AVERAGE(I32:I34)</f>
        <v>0.12102410162483056</v>
      </c>
    </row>
    <row r="13" spans="1:13" x14ac:dyDescent="0.2">
      <c r="A13" t="s">
        <v>27</v>
      </c>
      <c r="B13" t="s">
        <v>298</v>
      </c>
      <c r="C13">
        <v>3.8813450336456299</v>
      </c>
      <c r="D13">
        <v>3.8609552383422798</v>
      </c>
      <c r="E13">
        <v>3.8487124443054199</v>
      </c>
      <c r="F13">
        <v>3.8891024589538499</v>
      </c>
      <c r="G13">
        <v>3.88736701011657</v>
      </c>
      <c r="H13">
        <f t="shared" si="0"/>
        <v>3.8734964370727498</v>
      </c>
      <c r="I13">
        <f t="shared" si="1"/>
        <v>1.7811998391318654E-2</v>
      </c>
      <c r="K13" s="1">
        <v>0.55000000000000004</v>
      </c>
      <c r="L13" s="1">
        <f>AVERAGE(H35:H37)</f>
        <v>3.6081207275390583</v>
      </c>
      <c r="M13" s="1">
        <f>AVERAGE(I35:I37)</f>
        <v>5.1012543931105964E-2</v>
      </c>
    </row>
    <row r="14" spans="1:13" x14ac:dyDescent="0.2">
      <c r="A14" t="s">
        <v>29</v>
      </c>
      <c r="B14" t="s">
        <v>299</v>
      </c>
      <c r="C14">
        <v>4.2120900154113698</v>
      </c>
      <c r="D14">
        <v>4.3104448318481401</v>
      </c>
      <c r="E14">
        <v>4.3858547210693297</v>
      </c>
      <c r="F14">
        <v>4.40972805023193</v>
      </c>
      <c r="G14">
        <v>4.38740730285644</v>
      </c>
      <c r="H14">
        <f t="shared" si="0"/>
        <v>4.3411049842834419</v>
      </c>
      <c r="I14">
        <f t="shared" si="1"/>
        <v>8.130263828472889E-2</v>
      </c>
      <c r="K14" s="1">
        <v>0.6</v>
      </c>
      <c r="L14" s="1" t="e">
        <f>AVERAGE(H38:H40)</f>
        <v>#DIV/0!</v>
      </c>
      <c r="M14" s="1" t="e">
        <f>AVERAGE(I38:I40)</f>
        <v>#DIV/0!</v>
      </c>
    </row>
    <row r="15" spans="1:13" x14ac:dyDescent="0.2">
      <c r="A15" t="s">
        <v>31</v>
      </c>
      <c r="B15" t="s">
        <v>300</v>
      </c>
      <c r="C15">
        <v>3.0125319957733101</v>
      </c>
      <c r="D15">
        <v>3.1125323772430402</v>
      </c>
      <c r="E15">
        <v>3.0920939445495601</v>
      </c>
      <c r="F15">
        <v>3.046875</v>
      </c>
      <c r="G15">
        <v>3.0931725502014098</v>
      </c>
      <c r="H15">
        <f t="shared" si="0"/>
        <v>3.0714411735534641</v>
      </c>
      <c r="I15">
        <f t="shared" si="1"/>
        <v>4.0807673332606841E-2</v>
      </c>
      <c r="K15" s="1">
        <v>0.65</v>
      </c>
      <c r="L15" s="1" t="e">
        <f>AVERAGE(H41:H43)</f>
        <v>#DIV/0!</v>
      </c>
      <c r="M15" s="1" t="e">
        <f>AVERAGE(I41:I43)</f>
        <v>#DIV/0!</v>
      </c>
    </row>
    <row r="16" spans="1:13" x14ac:dyDescent="0.2">
      <c r="A16" t="s">
        <v>33</v>
      </c>
      <c r="B16" t="s">
        <v>197</v>
      </c>
      <c r="C16">
        <v>4.6054291725158603</v>
      </c>
      <c r="D16">
        <v>4.57952451705932</v>
      </c>
      <c r="E16">
        <v>4.3606724739074698</v>
      </c>
      <c r="F16">
        <v>4.60737752914428</v>
      </c>
      <c r="G16">
        <v>4.5298771858215297</v>
      </c>
      <c r="H16">
        <f t="shared" si="0"/>
        <v>4.5365761756896923</v>
      </c>
      <c r="I16">
        <f t="shared" si="1"/>
        <v>0.10318080685778075</v>
      </c>
      <c r="K16" s="1">
        <v>0.7</v>
      </c>
      <c r="L16" s="1" t="e">
        <f>AVERAGE(H44:H46)</f>
        <v>#DIV/0!</v>
      </c>
      <c r="M16" s="1" t="e">
        <f>AVERAGE(I44:I46)</f>
        <v>#DIV/0!</v>
      </c>
    </row>
    <row r="17" spans="1:13" x14ac:dyDescent="0.2">
      <c r="A17" t="s">
        <v>35</v>
      </c>
      <c r="B17" t="s">
        <v>42</v>
      </c>
      <c r="C17">
        <v>3.1137070655822701</v>
      </c>
      <c r="D17">
        <v>3.1195409297943102</v>
      </c>
      <c r="E17">
        <v>3.0795426368713299</v>
      </c>
      <c r="F17">
        <v>2.8806259632110498</v>
      </c>
      <c r="G17">
        <v>3.1161258220672599</v>
      </c>
      <c r="H17">
        <f t="shared" si="0"/>
        <v>3.0619084835052441</v>
      </c>
      <c r="I17">
        <f t="shared" si="1"/>
        <v>0.10261387247876663</v>
      </c>
      <c r="K17" s="1">
        <v>0.75</v>
      </c>
      <c r="L17" s="1" t="e">
        <f>AVERAGE(H47:H49)</f>
        <v>#DIV/0!</v>
      </c>
      <c r="M17" s="1" t="e">
        <f>AVERAGE(I47:I49)</f>
        <v>#DIV/0!</v>
      </c>
    </row>
    <row r="18" spans="1:13" x14ac:dyDescent="0.2">
      <c r="A18" t="s">
        <v>37</v>
      </c>
      <c r="B18" t="s">
        <v>129</v>
      </c>
      <c r="C18">
        <v>5.60221099853515</v>
      </c>
      <c r="D18">
        <v>5.3516268730163503</v>
      </c>
      <c r="E18">
        <v>5.5850567817687899</v>
      </c>
      <c r="F18">
        <v>5.6176719665527299</v>
      </c>
      <c r="G18">
        <v>5.6890349388122496</v>
      </c>
      <c r="H18">
        <f t="shared" si="0"/>
        <v>5.5691203117370538</v>
      </c>
      <c r="I18">
        <f t="shared" si="1"/>
        <v>0.12785650304963217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42</v>
      </c>
      <c r="C19">
        <v>4.9993686676025302</v>
      </c>
      <c r="D19">
        <v>4.9966926574706996</v>
      </c>
      <c r="E19">
        <v>5.0223927497863698</v>
      </c>
      <c r="F19">
        <v>5.0415635108947701</v>
      </c>
      <c r="G19">
        <v>5.0059752464294398</v>
      </c>
      <c r="H19">
        <f t="shared" si="0"/>
        <v>5.0131985664367615</v>
      </c>
      <c r="I19">
        <f t="shared" si="1"/>
        <v>1.8741601892989939E-2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301</v>
      </c>
      <c r="C20">
        <v>2.7544279098510698</v>
      </c>
      <c r="D20">
        <v>2.78242015838623</v>
      </c>
      <c r="E20">
        <v>2.7305266857147199</v>
      </c>
      <c r="F20">
        <v>2.7472567558288499</v>
      </c>
      <c r="G20">
        <v>2.35337805747985</v>
      </c>
      <c r="H20">
        <f t="shared" si="0"/>
        <v>2.6736019134521438</v>
      </c>
      <c r="I20">
        <f t="shared" si="1"/>
        <v>0.17998821875393811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134</v>
      </c>
      <c r="C21">
        <v>6.3053908348083496</v>
      </c>
      <c r="D21">
        <v>6.0604214668273899</v>
      </c>
      <c r="E21">
        <v>5.7550549507141104</v>
      </c>
      <c r="F21">
        <v>6.2817969322204501</v>
      </c>
      <c r="G21">
        <v>6.29426765441894</v>
      </c>
      <c r="H21">
        <f t="shared" si="0"/>
        <v>6.1393863677978473</v>
      </c>
      <c r="I21">
        <f t="shared" si="1"/>
        <v>0.23757764973523801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301</v>
      </c>
      <c r="C22">
        <v>3.8913726806640598</v>
      </c>
      <c r="D22">
        <v>4.3312053680419904</v>
      </c>
      <c r="E22">
        <v>4.02490186691284</v>
      </c>
      <c r="F22">
        <v>4.7777452468871999</v>
      </c>
      <c r="G22">
        <v>4.2284607887268004</v>
      </c>
      <c r="H22">
        <f t="shared" si="0"/>
        <v>4.2507371902465776</v>
      </c>
      <c r="I22">
        <f t="shared" si="1"/>
        <v>0.34090075589504315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58</v>
      </c>
      <c r="C23">
        <v>4.8079152107238698</v>
      </c>
      <c r="D23">
        <v>4.7993426322937003</v>
      </c>
      <c r="E23">
        <v>4.8129892349243102</v>
      </c>
      <c r="F23">
        <v>4.8248157501220703</v>
      </c>
      <c r="G23">
        <v>4.8091335296630797</v>
      </c>
      <c r="H23">
        <f t="shared" si="0"/>
        <v>4.8108392715454062</v>
      </c>
      <c r="I23">
        <f t="shared" si="1"/>
        <v>9.2681807421361138E-3</v>
      </c>
    </row>
    <row r="24" spans="1:13" x14ac:dyDescent="0.2">
      <c r="A24" t="s">
        <v>49</v>
      </c>
      <c r="B24" t="s">
        <v>208</v>
      </c>
      <c r="C24">
        <v>3.0984323024749698</v>
      </c>
      <c r="D24">
        <v>3.1046118736267001</v>
      </c>
      <c r="E24">
        <v>2.9668281078338601</v>
      </c>
      <c r="F24">
        <v>3.1402785778045601</v>
      </c>
      <c r="G24">
        <v>3.0191237926483101</v>
      </c>
      <c r="H24">
        <f t="shared" si="0"/>
        <v>3.0658549308776801</v>
      </c>
      <c r="I24">
        <f t="shared" si="1"/>
        <v>7.0873789117875119E-2</v>
      </c>
    </row>
    <row r="25" spans="1:13" x14ac:dyDescent="0.2">
      <c r="A25" t="s">
        <v>51</v>
      </c>
      <c r="B25" t="s">
        <v>140</v>
      </c>
      <c r="C25">
        <v>7.5087180137634197</v>
      </c>
      <c r="D25">
        <v>7.5131940841674796</v>
      </c>
      <c r="E25">
        <v>7.4789195060729901</v>
      </c>
      <c r="F25">
        <v>7.4520945549011204</v>
      </c>
      <c r="G25">
        <v>7.4923810958862296</v>
      </c>
      <c r="H25">
        <f t="shared" si="0"/>
        <v>7.489061450958248</v>
      </c>
      <c r="I25">
        <f t="shared" si="1"/>
        <v>2.4744670838015449E-2</v>
      </c>
    </row>
    <row r="26" spans="1:13" x14ac:dyDescent="0.2">
      <c r="A26" t="s">
        <v>53</v>
      </c>
      <c r="B26" t="s">
        <v>140</v>
      </c>
      <c r="C26">
        <v>3.3031017780303902</v>
      </c>
      <c r="D26">
        <v>3.25127100944519</v>
      </c>
      <c r="E26">
        <v>3.3842477798461901</v>
      </c>
      <c r="F26">
        <v>3.2887680530547998</v>
      </c>
      <c r="G26">
        <v>3.24958944320678</v>
      </c>
      <c r="H26">
        <f t="shared" si="0"/>
        <v>3.2953956127166699</v>
      </c>
      <c r="I26">
        <f t="shared" si="1"/>
        <v>5.4870763876495469E-2</v>
      </c>
    </row>
    <row r="27" spans="1:13" x14ac:dyDescent="0.2">
      <c r="A27" t="s">
        <v>55</v>
      </c>
      <c r="B27" t="s">
        <v>139</v>
      </c>
      <c r="C27">
        <v>3.0975606441497798</v>
      </c>
      <c r="D27">
        <v>3.0892803668975799</v>
      </c>
      <c r="E27">
        <v>3.08644342422485</v>
      </c>
      <c r="F27">
        <v>3.0391364097595202</v>
      </c>
      <c r="G27">
        <v>3.17077112197875</v>
      </c>
      <c r="H27">
        <f t="shared" si="0"/>
        <v>3.0966383934020962</v>
      </c>
      <c r="I27">
        <f t="shared" si="1"/>
        <v>4.7331459057530313E-2</v>
      </c>
    </row>
    <row r="28" spans="1:13" x14ac:dyDescent="0.2">
      <c r="A28" t="s">
        <v>57</v>
      </c>
      <c r="B28" t="s">
        <v>68</v>
      </c>
      <c r="C28">
        <v>3.4153854846954301</v>
      </c>
      <c r="D28">
        <v>3.41785717010498</v>
      </c>
      <c r="E28">
        <v>3.4107398986816402</v>
      </c>
      <c r="F28">
        <v>3.3967187404632502</v>
      </c>
      <c r="G28">
        <v>3.4085259437561</v>
      </c>
      <c r="H28">
        <f t="shared" si="0"/>
        <v>3.4098454475402802</v>
      </c>
      <c r="I28">
        <f t="shared" si="1"/>
        <v>8.2117489291419887E-3</v>
      </c>
    </row>
    <row r="29" spans="1:13" x14ac:dyDescent="0.2">
      <c r="A29" t="s">
        <v>59</v>
      </c>
      <c r="B29" t="s">
        <v>144</v>
      </c>
      <c r="C29">
        <v>3.2209022045135498</v>
      </c>
      <c r="D29">
        <v>3.4051752090454102</v>
      </c>
      <c r="E29">
        <v>3.15134572982788</v>
      </c>
      <c r="F29">
        <v>3.2358713150024401</v>
      </c>
      <c r="G29">
        <v>3.22345995903015</v>
      </c>
      <c r="H29">
        <f t="shared" si="0"/>
        <v>3.247350883483886</v>
      </c>
      <c r="I29">
        <f t="shared" si="1"/>
        <v>9.4243828246885125E-2</v>
      </c>
    </row>
    <row r="30" spans="1:13" x14ac:dyDescent="0.2">
      <c r="A30" t="s">
        <v>61</v>
      </c>
      <c r="B30" t="s">
        <v>144</v>
      </c>
      <c r="C30">
        <v>4.7752609252929599</v>
      </c>
      <c r="D30">
        <v>4.3830089569091797</v>
      </c>
      <c r="E30">
        <v>4.6854257583618102</v>
      </c>
      <c r="F30">
        <v>4.5343689918518004</v>
      </c>
      <c r="G30">
        <v>4.73711729049682</v>
      </c>
      <c r="H30">
        <f t="shared" si="0"/>
        <v>4.6230363845825142</v>
      </c>
      <c r="I30">
        <f t="shared" si="1"/>
        <v>0.16244558351833391</v>
      </c>
    </row>
    <row r="31" spans="1:13" x14ac:dyDescent="0.2">
      <c r="A31" t="s">
        <v>63</v>
      </c>
      <c r="B31" t="s">
        <v>146</v>
      </c>
      <c r="C31">
        <v>4.7892975807189897</v>
      </c>
      <c r="D31">
        <v>4.7659931182861301</v>
      </c>
      <c r="E31">
        <v>4.8232293128967196</v>
      </c>
      <c r="F31">
        <v>4.8402080535888601</v>
      </c>
      <c r="G31">
        <v>4.7934651374816797</v>
      </c>
      <c r="H31">
        <f t="shared" si="0"/>
        <v>4.8024386405944757</v>
      </c>
      <c r="I31">
        <f t="shared" si="1"/>
        <v>2.9326898582249735E-2</v>
      </c>
    </row>
    <row r="32" spans="1:13" x14ac:dyDescent="0.2">
      <c r="A32" t="s">
        <v>65</v>
      </c>
      <c r="B32" t="s">
        <v>142</v>
      </c>
      <c r="C32">
        <v>4.2846412658691397</v>
      </c>
      <c r="D32">
        <v>4.4242558479309002</v>
      </c>
      <c r="E32">
        <v>4.4318423271179199</v>
      </c>
      <c r="F32">
        <v>4.4939880371093697</v>
      </c>
      <c r="G32">
        <v>4.3559947013854901</v>
      </c>
      <c r="H32">
        <f t="shared" si="0"/>
        <v>4.3981444358825641</v>
      </c>
      <c r="I32">
        <f t="shared" si="1"/>
        <v>8.0098251120515954E-2</v>
      </c>
    </row>
    <row r="33" spans="1:9" x14ac:dyDescent="0.2">
      <c r="A33" t="s">
        <v>67</v>
      </c>
      <c r="B33" t="s">
        <v>142</v>
      </c>
      <c r="C33">
        <v>3.7850205898284899</v>
      </c>
      <c r="D33">
        <v>4.2098660469055096</v>
      </c>
      <c r="E33">
        <v>3.8214986324310298</v>
      </c>
      <c r="F33">
        <v>3.6530063152313201</v>
      </c>
      <c r="G33">
        <v>3.7725918292999201</v>
      </c>
      <c r="H33">
        <f t="shared" si="0"/>
        <v>3.8483966827392542</v>
      </c>
      <c r="I33">
        <f t="shared" si="1"/>
        <v>0.21173326794201414</v>
      </c>
    </row>
    <row r="34" spans="1:9" x14ac:dyDescent="0.2">
      <c r="A34" t="s">
        <v>69</v>
      </c>
      <c r="B34" t="s">
        <v>142</v>
      </c>
      <c r="C34">
        <v>4.5264091491699201</v>
      </c>
      <c r="D34">
        <v>4.5101995468139604</v>
      </c>
      <c r="E34">
        <v>4.63806056976318</v>
      </c>
      <c r="F34">
        <v>4.6743412017822203</v>
      </c>
      <c r="G34">
        <v>4.6121530532836896</v>
      </c>
      <c r="H34">
        <f t="shared" si="0"/>
        <v>4.5922327041625932</v>
      </c>
      <c r="I34">
        <f t="shared" si="1"/>
        <v>7.1240785811961568E-2</v>
      </c>
    </row>
    <row r="35" spans="1:9" x14ac:dyDescent="0.2">
      <c r="A35" t="s">
        <v>70</v>
      </c>
      <c r="B35" t="s">
        <v>214</v>
      </c>
      <c r="C35">
        <v>2.6782796382903999</v>
      </c>
      <c r="D35">
        <v>2.6521213054656898</v>
      </c>
      <c r="E35">
        <v>2.6994042396545401</v>
      </c>
      <c r="F35">
        <v>2.6971962451934801</v>
      </c>
      <c r="G35">
        <v>2.6743733882903999</v>
      </c>
      <c r="H35">
        <f t="shared" si="0"/>
        <v>2.6802749633789018</v>
      </c>
      <c r="I35">
        <f t="shared" si="1"/>
        <v>1.9259396107525497E-2</v>
      </c>
    </row>
    <row r="36" spans="1:9" x14ac:dyDescent="0.2">
      <c r="A36" t="s">
        <v>72</v>
      </c>
      <c r="B36" t="s">
        <v>147</v>
      </c>
      <c r="C36">
        <v>4.15988969802856</v>
      </c>
      <c r="D36">
        <v>3.9470920562744101</v>
      </c>
      <c r="E36">
        <v>3.9864461421966499</v>
      </c>
      <c r="F36">
        <v>3.9217009544372501</v>
      </c>
      <c r="G36">
        <v>3.9939692020416202</v>
      </c>
      <c r="H36">
        <f t="shared" si="0"/>
        <v>4.0018196105956978</v>
      </c>
      <c r="I36">
        <f t="shared" si="1"/>
        <v>9.3137303553329581E-2</v>
      </c>
    </row>
    <row r="37" spans="1:9" x14ac:dyDescent="0.2">
      <c r="A37" t="s">
        <v>74</v>
      </c>
      <c r="B37" t="s">
        <v>75</v>
      </c>
      <c r="C37">
        <v>4.1746740341186497</v>
      </c>
      <c r="D37">
        <v>4.1011533737182599</v>
      </c>
      <c r="E37">
        <v>4.1012659072875897</v>
      </c>
      <c r="F37">
        <v>4.1889114379882804</v>
      </c>
      <c r="G37">
        <v>4.1453332901000897</v>
      </c>
      <c r="H37">
        <f t="shared" si="0"/>
        <v>4.1422676086425749</v>
      </c>
      <c r="I37">
        <f t="shared" si="1"/>
        <v>4.0640932132462802E-2</v>
      </c>
    </row>
    <row r="38" spans="1:9" x14ac:dyDescent="0.2">
      <c r="A38" t="s">
        <v>76</v>
      </c>
      <c r="B38" t="s">
        <v>179</v>
      </c>
      <c r="C38">
        <v>3.5396320819854701</v>
      </c>
      <c r="D38">
        <v>3.66004085540771</v>
      </c>
      <c r="E38">
        <v>3.7382535934448198</v>
      </c>
      <c r="F38">
        <v>3.5054633617401101</v>
      </c>
      <c r="G38">
        <v>3.5654823780059801</v>
      </c>
      <c r="H38">
        <f t="shared" si="0"/>
        <v>3.6017744541168177</v>
      </c>
      <c r="I38">
        <f t="shared" si="1"/>
        <v>9.5493644694874757E-2</v>
      </c>
    </row>
    <row r="39" spans="1:9" x14ac:dyDescent="0.2">
      <c r="A39" t="s">
        <v>78</v>
      </c>
      <c r="B39" t="s">
        <v>180</v>
      </c>
      <c r="H39" t="e">
        <f t="shared" si="0"/>
        <v>#DIV/0!</v>
      </c>
      <c r="I39" t="e">
        <f t="shared" si="1"/>
        <v>#DIV/0!</v>
      </c>
    </row>
    <row r="40" spans="1:9" x14ac:dyDescent="0.2">
      <c r="A40" t="s">
        <v>79</v>
      </c>
      <c r="B40" t="s">
        <v>80</v>
      </c>
      <c r="C40">
        <v>3.5357503890991202</v>
      </c>
      <c r="D40">
        <v>3.5801475048065101</v>
      </c>
      <c r="E40">
        <v>3.4904286861419598</v>
      </c>
      <c r="F40">
        <v>3.46399927139282</v>
      </c>
      <c r="G40">
        <v>3.3488805294036799</v>
      </c>
      <c r="H40">
        <f t="shared" si="0"/>
        <v>3.4838412761688184</v>
      </c>
      <c r="I40">
        <f t="shared" si="1"/>
        <v>8.7494211195248528E-2</v>
      </c>
    </row>
    <row r="41" spans="1:9" x14ac:dyDescent="0.2">
      <c r="A41" t="s">
        <v>81</v>
      </c>
      <c r="B41" t="s">
        <v>179</v>
      </c>
      <c r="C41">
        <v>2.7481312751770002</v>
      </c>
      <c r="D41">
        <v>5.6191525459289497</v>
      </c>
      <c r="E41">
        <v>2.8956131935119598</v>
      </c>
      <c r="F41">
        <v>2.9245388507843</v>
      </c>
      <c r="G41">
        <v>3.6212887763977002</v>
      </c>
      <c r="H41">
        <f t="shared" si="0"/>
        <v>3.5617449283599818</v>
      </c>
      <c r="I41">
        <f t="shared" si="1"/>
        <v>1.1987703934434997</v>
      </c>
    </row>
    <row r="42" spans="1:9" x14ac:dyDescent="0.2">
      <c r="A42" t="s">
        <v>83</v>
      </c>
      <c r="B42" t="s">
        <v>84</v>
      </c>
      <c r="H42" t="e">
        <f t="shared" si="0"/>
        <v>#DIV/0!</v>
      </c>
      <c r="I42" t="e">
        <f t="shared" si="1"/>
        <v>#DIV/0!</v>
      </c>
    </row>
    <row r="43" spans="1:9" x14ac:dyDescent="0.2">
      <c r="A43" t="s">
        <v>85</v>
      </c>
      <c r="B43" t="s">
        <v>84</v>
      </c>
      <c r="H43" t="e">
        <f t="shared" si="0"/>
        <v>#DIV/0!</v>
      </c>
      <c r="I43" t="e">
        <f t="shared" si="1"/>
        <v>#DIV/0!</v>
      </c>
    </row>
    <row r="44" spans="1:9" x14ac:dyDescent="0.2">
      <c r="A44" t="s">
        <v>86</v>
      </c>
      <c r="B44" t="s">
        <v>77</v>
      </c>
      <c r="H44" t="e">
        <f t="shared" si="0"/>
        <v>#DIV/0!</v>
      </c>
      <c r="I44" t="e">
        <f t="shared" si="1"/>
        <v>#DIV/0!</v>
      </c>
    </row>
    <row r="45" spans="1:9" x14ac:dyDescent="0.2">
      <c r="A45" t="s">
        <v>88</v>
      </c>
      <c r="B45" t="s">
        <v>84</v>
      </c>
      <c r="H45" t="e">
        <f t="shared" si="0"/>
        <v>#DIV/0!</v>
      </c>
      <c r="I45" t="e">
        <f t="shared" si="1"/>
        <v>#DIV/0!</v>
      </c>
    </row>
    <row r="46" spans="1:9" x14ac:dyDescent="0.2">
      <c r="A46" t="s">
        <v>89</v>
      </c>
      <c r="B46" t="s">
        <v>99</v>
      </c>
      <c r="H46" t="e">
        <f t="shared" si="0"/>
        <v>#DIV/0!</v>
      </c>
      <c r="I46" t="e">
        <f t="shared" si="1"/>
        <v>#DIV/0!</v>
      </c>
    </row>
    <row r="47" spans="1:9" x14ac:dyDescent="0.2">
      <c r="A47" t="s">
        <v>90</v>
      </c>
      <c r="B47" t="s">
        <v>148</v>
      </c>
      <c r="H47" t="e">
        <f t="shared" si="0"/>
        <v>#DIV/0!</v>
      </c>
      <c r="I47" t="e">
        <f t="shared" si="1"/>
        <v>#DIV/0!</v>
      </c>
    </row>
    <row r="48" spans="1:9" x14ac:dyDescent="0.2">
      <c r="A48" t="s">
        <v>92</v>
      </c>
      <c r="B48" t="s">
        <v>288</v>
      </c>
      <c r="H48" t="e">
        <f t="shared" si="0"/>
        <v>#DIV/0!</v>
      </c>
      <c r="I48" t="e">
        <f t="shared" si="1"/>
        <v>#DIV/0!</v>
      </c>
    </row>
    <row r="49" spans="1:9" x14ac:dyDescent="0.2">
      <c r="A49" t="s">
        <v>93</v>
      </c>
      <c r="B49" t="s">
        <v>148</v>
      </c>
      <c r="H49" t="e">
        <f t="shared" si="0"/>
        <v>#DIV/0!</v>
      </c>
      <c r="I49" t="e">
        <f t="shared" si="1"/>
        <v>#DIV/0!</v>
      </c>
    </row>
    <row r="50" spans="1:9" x14ac:dyDescent="0.2">
      <c r="A50" t="s">
        <v>94</v>
      </c>
      <c r="B50" t="s">
        <v>87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82</v>
      </c>
      <c r="H51" t="e">
        <f t="shared" si="0"/>
        <v>#DIV/0!</v>
      </c>
      <c r="I51" t="e">
        <f t="shared" si="1"/>
        <v>#DIV/0!</v>
      </c>
    </row>
    <row r="52" spans="1:9" x14ac:dyDescent="0.2">
      <c r="A52" t="s">
        <v>98</v>
      </c>
      <c r="B52" t="s">
        <v>87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99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99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148</v>
      </c>
      <c r="H55" t="e">
        <f t="shared" si="0"/>
        <v>#DIV/0!</v>
      </c>
      <c r="I55" t="e">
        <f t="shared" si="1"/>
        <v>#DIV/0!</v>
      </c>
    </row>
    <row r="56" spans="1:9" x14ac:dyDescent="0.2">
      <c r="A56" t="s">
        <v>104</v>
      </c>
      <c r="B56" t="s">
        <v>151</v>
      </c>
      <c r="H56" t="e">
        <f t="shared" si="0"/>
        <v>#DIV/0!</v>
      </c>
      <c r="I56" t="e">
        <f t="shared" si="1"/>
        <v>#DIV/0!</v>
      </c>
    </row>
    <row r="57" spans="1:9" x14ac:dyDescent="0.2">
      <c r="A57" t="s">
        <v>106</v>
      </c>
      <c r="B57" t="s">
        <v>99</v>
      </c>
      <c r="H57" t="e">
        <f t="shared" si="0"/>
        <v>#DIV/0!</v>
      </c>
      <c r="I57" t="e">
        <f t="shared" si="1"/>
        <v>#DIV/0!</v>
      </c>
    </row>
    <row r="58" spans="1:9" x14ac:dyDescent="0.2">
      <c r="A58" t="s">
        <v>149</v>
      </c>
      <c r="B58" t="s">
        <v>99</v>
      </c>
      <c r="H58" t="e">
        <f t="shared" si="0"/>
        <v>#DIV/0!</v>
      </c>
      <c r="I58" t="e">
        <f t="shared" si="1"/>
        <v>#DIV/0!</v>
      </c>
    </row>
    <row r="59" spans="1:9" x14ac:dyDescent="0.2">
      <c r="A59" t="s">
        <v>150</v>
      </c>
      <c r="B59" t="s">
        <v>95</v>
      </c>
      <c r="H59" t="e">
        <f t="shared" si="0"/>
        <v>#DIV/0!</v>
      </c>
      <c r="I59" t="e">
        <f t="shared" si="1"/>
        <v>#DIV/0!</v>
      </c>
    </row>
    <row r="60" spans="1:9" x14ac:dyDescent="0.2">
      <c r="A60" t="s">
        <v>152</v>
      </c>
      <c r="B60" t="s">
        <v>151</v>
      </c>
      <c r="H60" t="e">
        <f t="shared" si="0"/>
        <v>#DIV/0!</v>
      </c>
      <c r="I60" t="e">
        <f t="shared" si="1"/>
        <v>#DIV/0!</v>
      </c>
    </row>
    <row r="61" spans="1:9" x14ac:dyDescent="0.2">
      <c r="A61" t="s">
        <v>107</v>
      </c>
      <c r="B61" t="s">
        <v>99</v>
      </c>
      <c r="H61" t="e">
        <f t="shared" si="0"/>
        <v>#DIV/0!</v>
      </c>
      <c r="I61" t="e">
        <f t="shared" si="1"/>
        <v>#DIV/0!</v>
      </c>
    </row>
    <row r="62" spans="1:9" x14ac:dyDescent="0.2">
      <c r="A62" t="s">
        <v>153</v>
      </c>
      <c r="B62" t="s">
        <v>91</v>
      </c>
      <c r="H62" t="e">
        <f t="shared" si="0"/>
        <v>#DIV/0!</v>
      </c>
      <c r="I62" t="e">
        <f t="shared" si="1"/>
        <v>#DIV/0!</v>
      </c>
    </row>
    <row r="63" spans="1:9" x14ac:dyDescent="0.2">
      <c r="A63" t="s">
        <v>215</v>
      </c>
      <c r="B63" t="s">
        <v>95</v>
      </c>
      <c r="H63" t="e">
        <f t="shared" si="0"/>
        <v>#DIV/0!</v>
      </c>
      <c r="I63" t="e">
        <f t="shared" si="1"/>
        <v>#DIV/0!</v>
      </c>
    </row>
    <row r="64" spans="1:9" x14ac:dyDescent="0.2">
      <c r="A64" t="s">
        <v>216</v>
      </c>
      <c r="B64" t="s">
        <v>95</v>
      </c>
      <c r="H64" t="e">
        <f t="shared" si="0"/>
        <v>#DIV/0!</v>
      </c>
      <c r="I64" t="e">
        <f t="shared" si="1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8BF8-675F-B84F-9255-91D95330334A}">
  <dimension ref="A1:M60"/>
  <sheetViews>
    <sheetView tabSelected="1" workbookViewId="0">
      <selection activeCell="I31" sqref="I31"/>
    </sheetView>
  </sheetViews>
  <sheetFormatPr baseColWidth="10" defaultRowHeight="16" x14ac:dyDescent="0.2"/>
  <cols>
    <col min="1" max="1" width="6.5" bestFit="1" customWidth="1"/>
    <col min="2" max="2" width="13.83203125" bestFit="1" customWidth="1"/>
    <col min="3" max="7" width="12.1640625" bestFit="1" customWidth="1"/>
  </cols>
  <sheetData>
    <row r="1" spans="1:13" x14ac:dyDescent="0.2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</v>
      </c>
      <c r="I1" t="s">
        <v>323</v>
      </c>
      <c r="K1" s="1" t="s">
        <v>324</v>
      </c>
      <c r="L1" s="1" t="s">
        <v>0</v>
      </c>
      <c r="M1" s="1" t="s">
        <v>323</v>
      </c>
    </row>
    <row r="2" spans="1:13" x14ac:dyDescent="0.2">
      <c r="A2" t="s">
        <v>7</v>
      </c>
      <c r="B2" t="s">
        <v>302</v>
      </c>
      <c r="C2">
        <v>0.57210505008697499</v>
      </c>
      <c r="D2">
        <v>0.58364087343215898</v>
      </c>
      <c r="E2">
        <v>0.63782811164855902</v>
      </c>
      <c r="F2">
        <v>0.57493501901626498</v>
      </c>
      <c r="G2">
        <v>0.58695197105407704</v>
      </c>
      <c r="H2">
        <f>AVERAGE(C2:G2)</f>
        <v>0.59109220504760707</v>
      </c>
      <c r="I2">
        <f>STDEV(C2:G2)</f>
        <v>2.6825713225037993E-2</v>
      </c>
      <c r="K2" s="1">
        <v>0</v>
      </c>
      <c r="L2" s="1">
        <f>AVERAGE(H2:H4)</f>
        <v>0.53589724699656127</v>
      </c>
      <c r="M2" s="1">
        <f>AVERAGE(I2:I4)</f>
        <v>1.6570828356223404E-2</v>
      </c>
    </row>
    <row r="3" spans="1:13" x14ac:dyDescent="0.2">
      <c r="A3" t="s">
        <v>9</v>
      </c>
      <c r="B3" t="s">
        <v>302</v>
      </c>
      <c r="C3">
        <v>0.54115855693817105</v>
      </c>
      <c r="D3">
        <v>0.55329036712646396</v>
      </c>
      <c r="E3">
        <v>0.54053729772567705</v>
      </c>
      <c r="F3">
        <v>0.54753065109252896</v>
      </c>
      <c r="G3">
        <v>0.53090834617614702</v>
      </c>
      <c r="H3">
        <f t="shared" ref="H3:H60" si="0">AVERAGE(C3:G3)</f>
        <v>0.54268504381179761</v>
      </c>
      <c r="I3">
        <f t="shared" ref="I3:I60" si="1">STDEV(C3:G3)</f>
        <v>8.3902678019688506E-3</v>
      </c>
      <c r="K3" s="1">
        <v>0.05</v>
      </c>
      <c r="L3" s="1">
        <f>AVERAGE(H5:H7)</f>
        <v>0.75045407215754134</v>
      </c>
      <c r="M3" s="1">
        <f>AVERAGE(I5:I7)</f>
        <v>2.6172184132647564E-2</v>
      </c>
    </row>
    <row r="4" spans="1:13" x14ac:dyDescent="0.2">
      <c r="A4" t="s">
        <v>10</v>
      </c>
      <c r="B4" t="s">
        <v>302</v>
      </c>
      <c r="C4">
        <v>0.49720463156700101</v>
      </c>
      <c r="D4">
        <v>0.46302145719528198</v>
      </c>
      <c r="E4">
        <v>0.47889477014541598</v>
      </c>
      <c r="F4">
        <v>0.466588854789733</v>
      </c>
      <c r="G4">
        <v>0.46386274695396401</v>
      </c>
      <c r="H4">
        <f t="shared" si="0"/>
        <v>0.4739144921302792</v>
      </c>
      <c r="I4">
        <f t="shared" si="1"/>
        <v>1.4496504041663368E-2</v>
      </c>
      <c r="K4" s="1">
        <v>0.1</v>
      </c>
      <c r="L4" s="1">
        <f>AVERAGE(H8:H10)</f>
        <v>0.78161043723424228</v>
      </c>
      <c r="M4" s="1">
        <f>AVERAGE(I8:I10)</f>
        <v>4.3339303826398883E-2</v>
      </c>
    </row>
    <row r="5" spans="1:13" x14ac:dyDescent="0.2">
      <c r="A5" t="s">
        <v>11</v>
      </c>
      <c r="B5" t="s">
        <v>303</v>
      </c>
      <c r="C5">
        <v>0.72074770927429199</v>
      </c>
      <c r="D5">
        <v>0.72546356916427601</v>
      </c>
      <c r="E5">
        <v>0.71210503578186002</v>
      </c>
      <c r="F5">
        <v>0.72891765832901001</v>
      </c>
      <c r="G5">
        <v>0.74847894906997603</v>
      </c>
      <c r="H5">
        <f t="shared" si="0"/>
        <v>0.72714258432388279</v>
      </c>
      <c r="I5">
        <f t="shared" si="1"/>
        <v>1.3492893808054744E-2</v>
      </c>
      <c r="K5" s="1">
        <v>0.15</v>
      </c>
      <c r="L5" s="1">
        <f>AVERAGE(H11:H13)</f>
        <v>1.0509576320648146</v>
      </c>
      <c r="M5" s="1">
        <f>AVERAGE(I11:I13)</f>
        <v>5.6262906782614662E-2</v>
      </c>
    </row>
    <row r="6" spans="1:13" x14ac:dyDescent="0.2">
      <c r="A6" t="s">
        <v>13</v>
      </c>
      <c r="B6" t="s">
        <v>304</v>
      </c>
      <c r="C6">
        <v>0.65783858299255304</v>
      </c>
      <c r="D6">
        <v>0.70523321628570501</v>
      </c>
      <c r="E6">
        <v>0.70409339666366499</v>
      </c>
      <c r="F6">
        <v>0.74449837207794101</v>
      </c>
      <c r="G6">
        <v>0.71096998453140203</v>
      </c>
      <c r="H6">
        <f t="shared" si="0"/>
        <v>0.70452671051025317</v>
      </c>
      <c r="I6">
        <f t="shared" si="1"/>
        <v>3.0901932265648066E-2</v>
      </c>
      <c r="K6" s="1">
        <v>0.2</v>
      </c>
      <c r="L6" s="1">
        <f>AVERAGE(H14:H16)</f>
        <v>1.194282245635981</v>
      </c>
      <c r="M6" s="1">
        <f>AVERAGE(I14:I16)</f>
        <v>3.5476997532202965E-2</v>
      </c>
    </row>
    <row r="7" spans="1:13" x14ac:dyDescent="0.2">
      <c r="A7" t="s">
        <v>15</v>
      </c>
      <c r="B7" t="s">
        <v>305</v>
      </c>
      <c r="C7">
        <v>0.79352051019668501</v>
      </c>
      <c r="D7">
        <v>0.81146615743636996</v>
      </c>
      <c r="E7">
        <v>0.86894130706787098</v>
      </c>
      <c r="F7">
        <v>0.83842974901199296</v>
      </c>
      <c r="G7">
        <v>0.78610688447952204</v>
      </c>
      <c r="H7">
        <f t="shared" si="0"/>
        <v>0.81969292163848828</v>
      </c>
      <c r="I7">
        <f t="shared" si="1"/>
        <v>3.4121726324239883E-2</v>
      </c>
      <c r="K7" s="1">
        <v>0.25</v>
      </c>
      <c r="L7" s="1">
        <f>AVERAGE(H17:H19)</f>
        <v>1.2916208823521893</v>
      </c>
      <c r="M7" s="1">
        <f>AVERAGE(I17:I19)</f>
        <v>4.9390572479805529E-2</v>
      </c>
    </row>
    <row r="8" spans="1:13" x14ac:dyDescent="0.2">
      <c r="A8" t="s">
        <v>17</v>
      </c>
      <c r="B8" t="s">
        <v>306</v>
      </c>
      <c r="C8">
        <v>0.77000313997268599</v>
      </c>
      <c r="D8">
        <v>0.73301053047180098</v>
      </c>
      <c r="E8">
        <v>0.700605988502502</v>
      </c>
      <c r="F8">
        <v>0.71441262960433904</v>
      </c>
      <c r="G8">
        <v>0.77711290121078402</v>
      </c>
      <c r="H8">
        <f t="shared" si="0"/>
        <v>0.73902903795242247</v>
      </c>
      <c r="I8">
        <f t="shared" si="1"/>
        <v>3.3646308705146975E-2</v>
      </c>
      <c r="K8" s="1">
        <v>0.3</v>
      </c>
      <c r="L8" s="1">
        <f>AVERAGE(H20:H22)</f>
        <v>1.2284880797068223</v>
      </c>
      <c r="M8" s="1">
        <f>AVERAGE(I20:I22)</f>
        <v>6.6624471053805423E-2</v>
      </c>
    </row>
    <row r="9" spans="1:13" x14ac:dyDescent="0.2">
      <c r="A9" t="s">
        <v>19</v>
      </c>
      <c r="B9" t="s">
        <v>307</v>
      </c>
      <c r="C9">
        <v>0.80731952190399103</v>
      </c>
      <c r="D9">
        <v>0.75871324539184504</v>
      </c>
      <c r="E9">
        <v>0.808837890625</v>
      </c>
      <c r="F9">
        <v>0.74879950284957797</v>
      </c>
      <c r="G9">
        <v>0.76222312450408902</v>
      </c>
      <c r="H9">
        <f t="shared" si="0"/>
        <v>0.77717865705490063</v>
      </c>
      <c r="I9">
        <f t="shared" si="1"/>
        <v>2.8639110405489283E-2</v>
      </c>
      <c r="K9" s="1">
        <v>0.35</v>
      </c>
      <c r="L9" s="1">
        <f>AVERAGE(H23:H25)</f>
        <v>1.4301743030548046</v>
      </c>
      <c r="M9" s="1">
        <f>AVERAGE(I23:I25)</f>
        <v>6.9853046328606436E-2</v>
      </c>
    </row>
    <row r="10" spans="1:13" x14ac:dyDescent="0.2">
      <c r="A10" t="s">
        <v>21</v>
      </c>
      <c r="B10" t="s">
        <v>308</v>
      </c>
      <c r="C10">
        <v>0.86718028783798196</v>
      </c>
      <c r="D10">
        <v>0.74661612510681097</v>
      </c>
      <c r="E10">
        <v>0.91924041509628296</v>
      </c>
      <c r="F10">
        <v>0.82522970438003496</v>
      </c>
      <c r="G10">
        <v>0.78485155105590798</v>
      </c>
      <c r="H10">
        <f t="shared" si="0"/>
        <v>0.82862361669540374</v>
      </c>
      <c r="I10">
        <f t="shared" si="1"/>
        <v>6.7732492368560382E-2</v>
      </c>
      <c r="K10" s="1">
        <v>0.4</v>
      </c>
      <c r="L10" s="1">
        <f>AVERAGE(H26:H28)</f>
        <v>1.2766516129175784</v>
      </c>
      <c r="M10" s="1">
        <f>AVERAGE(I26:I28)</f>
        <v>3.3709200006253361E-2</v>
      </c>
    </row>
    <row r="11" spans="1:13" x14ac:dyDescent="0.2">
      <c r="A11" t="s">
        <v>23</v>
      </c>
      <c r="B11" t="s">
        <v>291</v>
      </c>
      <c r="C11">
        <v>1.02109110355377</v>
      </c>
      <c r="D11">
        <v>0.96743941307067804</v>
      </c>
      <c r="E11">
        <v>0.98062914609909002</v>
      </c>
      <c r="F11">
        <v>0.896320641040802</v>
      </c>
      <c r="G11">
        <v>1.1035071611404399</v>
      </c>
      <c r="H11">
        <f t="shared" si="0"/>
        <v>0.99379749298095599</v>
      </c>
      <c r="I11">
        <f t="shared" si="1"/>
        <v>7.6077333789514714E-2</v>
      </c>
      <c r="K11" s="1">
        <v>0.45</v>
      </c>
      <c r="L11" s="1">
        <f>AVERAGE(H29:H31)</f>
        <v>1.3072669148445091</v>
      </c>
      <c r="M11" s="1">
        <f>AVERAGE(I29:I31)</f>
        <v>4.8766503988134736E-2</v>
      </c>
    </row>
    <row r="12" spans="1:13" x14ac:dyDescent="0.2">
      <c r="A12" t="s">
        <v>25</v>
      </c>
      <c r="B12" t="s">
        <v>309</v>
      </c>
      <c r="C12">
        <v>1.1623461246490401</v>
      </c>
      <c r="D12">
        <v>1.07780444622039</v>
      </c>
      <c r="E12">
        <v>1.07091081142425</v>
      </c>
      <c r="F12">
        <v>1.09000945091247</v>
      </c>
      <c r="G12">
        <v>1.0746420621871899</v>
      </c>
      <c r="H12">
        <f t="shared" si="0"/>
        <v>1.095142579078668</v>
      </c>
      <c r="I12">
        <f t="shared" si="1"/>
        <v>3.8245019772143105E-2</v>
      </c>
      <c r="K12" s="1">
        <v>0.5</v>
      </c>
      <c r="L12" s="1">
        <f>AVERAGE(H32:H34)</f>
        <v>1.1165434281031239</v>
      </c>
      <c r="M12" s="1">
        <f>AVERAGE(I32:I34)</f>
        <v>1.2245933100450392E-2</v>
      </c>
    </row>
    <row r="13" spans="1:13" x14ac:dyDescent="0.2">
      <c r="A13" t="s">
        <v>27</v>
      </c>
      <c r="B13" t="s">
        <v>310</v>
      </c>
      <c r="C13">
        <v>1.0929541587829501</v>
      </c>
      <c r="D13">
        <v>1.1448323726653999</v>
      </c>
      <c r="E13">
        <v>1.01022064685821</v>
      </c>
      <c r="F13">
        <v>1.03312122821807</v>
      </c>
      <c r="G13">
        <v>1.03853571414947</v>
      </c>
      <c r="H13">
        <f t="shared" si="0"/>
        <v>1.0639328241348198</v>
      </c>
      <c r="I13">
        <f t="shared" si="1"/>
        <v>5.446636678618616E-2</v>
      </c>
      <c r="K13" s="1">
        <v>0.55000000000000004</v>
      </c>
      <c r="L13" s="1">
        <f>AVERAGE(H35:H37)</f>
        <v>1.205416329701736</v>
      </c>
      <c r="M13" s="1">
        <f>AVERAGE(I35:I37)</f>
        <v>3.7568284856965249E-2</v>
      </c>
    </row>
    <row r="14" spans="1:13" x14ac:dyDescent="0.2">
      <c r="A14" t="s">
        <v>29</v>
      </c>
      <c r="B14" t="s">
        <v>311</v>
      </c>
      <c r="C14">
        <v>1.04049456119537</v>
      </c>
      <c r="D14">
        <v>1.0772761106491</v>
      </c>
      <c r="E14">
        <v>1.18654441833496</v>
      </c>
      <c r="F14">
        <v>1.158203125</v>
      </c>
      <c r="G14">
        <v>1.15595018863677</v>
      </c>
      <c r="H14">
        <f t="shared" si="0"/>
        <v>1.1236936807632401</v>
      </c>
      <c r="I14">
        <f t="shared" si="1"/>
        <v>6.176221249114261E-2</v>
      </c>
      <c r="K14" s="1">
        <v>0.6</v>
      </c>
      <c r="L14" s="1">
        <f>AVERAGE(H38:H40)</f>
        <v>1.0308380762735967</v>
      </c>
      <c r="M14" s="1">
        <f>AVERAGE(I38:I40)</f>
        <v>2.5731381085081977E-2</v>
      </c>
    </row>
    <row r="15" spans="1:13" x14ac:dyDescent="0.2">
      <c r="A15" t="s">
        <v>31</v>
      </c>
      <c r="B15" t="s">
        <v>26</v>
      </c>
      <c r="C15">
        <v>1.2666312456130899</v>
      </c>
      <c r="D15">
        <v>1.2507339715957599</v>
      </c>
      <c r="E15">
        <v>1.2818784713745099</v>
      </c>
      <c r="F15">
        <v>1.26091313362121</v>
      </c>
      <c r="G15">
        <v>1.31260108947753</v>
      </c>
      <c r="H15">
        <f t="shared" si="0"/>
        <v>1.2745515823364202</v>
      </c>
      <c r="I15">
        <f t="shared" si="1"/>
        <v>2.4070032692228568E-2</v>
      </c>
      <c r="K15" s="1">
        <v>0.65</v>
      </c>
      <c r="L15" s="1">
        <f>AVERAGE(H41:H43)</f>
        <v>1.3240467548370314</v>
      </c>
      <c r="M15" s="1">
        <f>AVERAGE(I41:I43)</f>
        <v>0.11312623714766312</v>
      </c>
    </row>
    <row r="16" spans="1:13" x14ac:dyDescent="0.2">
      <c r="A16" t="s">
        <v>33</v>
      </c>
      <c r="B16" t="s">
        <v>312</v>
      </c>
      <c r="C16">
        <v>1.2052481174468901</v>
      </c>
      <c r="D16">
        <v>1.1876043081283501</v>
      </c>
      <c r="E16">
        <v>1.1499545574188199</v>
      </c>
      <c r="F16">
        <v>1.1908254623412999</v>
      </c>
      <c r="G16">
        <v>1.18937492370605</v>
      </c>
      <c r="H16">
        <f t="shared" si="0"/>
        <v>1.184601473808282</v>
      </c>
      <c r="I16">
        <f t="shared" si="1"/>
        <v>2.0598747413237726E-2</v>
      </c>
      <c r="K16" s="1">
        <v>0.7</v>
      </c>
      <c r="L16" s="1">
        <f>AVERAGE(H44:H46)</f>
        <v>1.473549914360041</v>
      </c>
      <c r="M16" s="1">
        <f>AVERAGE(I44:I46)</f>
        <v>0.1695625179707064</v>
      </c>
    </row>
    <row r="17" spans="1:13" x14ac:dyDescent="0.2">
      <c r="A17" t="s">
        <v>35</v>
      </c>
      <c r="B17" t="s">
        <v>296</v>
      </c>
      <c r="C17">
        <v>1.28642082214355</v>
      </c>
      <c r="D17">
        <v>1.30204153060913</v>
      </c>
      <c r="E17">
        <v>1.4867761135101301</v>
      </c>
      <c r="F17">
        <v>1.28944027423858</v>
      </c>
      <c r="G17">
        <v>1.3917704820632899</v>
      </c>
      <c r="H17">
        <f t="shared" si="0"/>
        <v>1.351289844512936</v>
      </c>
      <c r="I17">
        <f t="shared" si="1"/>
        <v>8.7255324954860727E-2</v>
      </c>
      <c r="K17" s="1">
        <v>0.75</v>
      </c>
      <c r="L17" s="1" t="e">
        <f>AVERAGE(H47:H49)</f>
        <v>#DIV/0!</v>
      </c>
      <c r="M17" s="1" t="e">
        <f>AVERAGE(I47:I49)</f>
        <v>#DIV/0!</v>
      </c>
    </row>
    <row r="18" spans="1:13" x14ac:dyDescent="0.2">
      <c r="A18" t="s">
        <v>37</v>
      </c>
      <c r="B18" t="s">
        <v>313</v>
      </c>
      <c r="C18">
        <v>1.33208751678466</v>
      </c>
      <c r="D18">
        <v>1.3358256816864</v>
      </c>
      <c r="E18">
        <v>1.30889844894409</v>
      </c>
      <c r="F18">
        <v>1.3284871578216499</v>
      </c>
      <c r="G18">
        <v>1.3315287828445399</v>
      </c>
      <c r="H18">
        <f t="shared" si="0"/>
        <v>1.327365517616268</v>
      </c>
      <c r="I18">
        <f t="shared" si="1"/>
        <v>1.0647712567660389E-2</v>
      </c>
      <c r="K18" s="1">
        <v>0.8</v>
      </c>
      <c r="L18" s="1" t="e">
        <f>AVERAGE(H50:H52)</f>
        <v>#DIV/0!</v>
      </c>
      <c r="M18" s="1" t="e">
        <f>AVERAGE(I50:I52)</f>
        <v>#DIV/0!</v>
      </c>
    </row>
    <row r="19" spans="1:13" x14ac:dyDescent="0.2">
      <c r="A19" t="s">
        <v>39</v>
      </c>
      <c r="B19" t="s">
        <v>314</v>
      </c>
      <c r="C19">
        <v>1.2575701475143399</v>
      </c>
      <c r="D19">
        <v>1.1312669515609699</v>
      </c>
      <c r="E19">
        <v>1.22312200069427</v>
      </c>
      <c r="F19">
        <v>1.1607857942581099</v>
      </c>
      <c r="G19">
        <v>1.20829153060913</v>
      </c>
      <c r="H19">
        <f t="shared" si="0"/>
        <v>1.1962072849273639</v>
      </c>
      <c r="I19">
        <f t="shared" si="1"/>
        <v>5.0268679916895473E-2</v>
      </c>
      <c r="K19" s="1">
        <v>0.85</v>
      </c>
      <c r="L19" s="1" t="e">
        <f>AVERAGE(H53:H55)</f>
        <v>#DIV/0!</v>
      </c>
      <c r="M19" s="1" t="e">
        <f>AVERAGE(I53:I55)</f>
        <v>#DIV/0!</v>
      </c>
    </row>
    <row r="20" spans="1:13" x14ac:dyDescent="0.2">
      <c r="A20" t="s">
        <v>41</v>
      </c>
      <c r="B20" t="s">
        <v>315</v>
      </c>
      <c r="C20">
        <v>1.34728002548217</v>
      </c>
      <c r="D20">
        <v>1.26792812347412</v>
      </c>
      <c r="E20">
        <v>1.29462110996246</v>
      </c>
      <c r="F20">
        <v>1.3052053451537999</v>
      </c>
      <c r="G20">
        <v>1.32654249668121</v>
      </c>
      <c r="H20">
        <f t="shared" si="0"/>
        <v>1.3083154201507519</v>
      </c>
      <c r="I20">
        <f t="shared" si="1"/>
        <v>3.0326585772002319E-2</v>
      </c>
      <c r="K20" s="1">
        <v>0.9</v>
      </c>
      <c r="L20" s="1" t="e">
        <f>AVERAGE(H56:H58)</f>
        <v>#DIV/0!</v>
      </c>
      <c r="M20" s="1" t="e">
        <f>AVERAGE(I56:I58)</f>
        <v>#DIV/0!</v>
      </c>
    </row>
    <row r="21" spans="1:13" x14ac:dyDescent="0.2">
      <c r="A21" t="s">
        <v>43</v>
      </c>
      <c r="B21" t="s">
        <v>316</v>
      </c>
      <c r="C21">
        <v>0.97104543447494496</v>
      </c>
      <c r="D21">
        <v>1.0375401973724301</v>
      </c>
      <c r="E21">
        <v>1.0803310871124201</v>
      </c>
      <c r="F21">
        <v>1.0235861539840601</v>
      </c>
      <c r="G21">
        <v>0.98661273717880205</v>
      </c>
      <c r="H21">
        <f t="shared" si="0"/>
        <v>1.0198231220245315</v>
      </c>
      <c r="I21">
        <f t="shared" si="1"/>
        <v>4.3218808034741193E-2</v>
      </c>
      <c r="K21" s="1">
        <v>0.95</v>
      </c>
      <c r="L21" s="1" t="e">
        <f>AVERAGE(H59:H61)</f>
        <v>#DIV/0!</v>
      </c>
      <c r="M21" s="1" t="e">
        <f>AVERAGE(I59:I61)</f>
        <v>#DIV/0!</v>
      </c>
    </row>
    <row r="22" spans="1:13" x14ac:dyDescent="0.2">
      <c r="A22" t="s">
        <v>45</v>
      </c>
      <c r="B22" t="s">
        <v>317</v>
      </c>
      <c r="C22">
        <v>1.4552751779556199</v>
      </c>
      <c r="D22">
        <v>1.3721628189086901</v>
      </c>
      <c r="E22">
        <v>1.3871885538101101</v>
      </c>
      <c r="F22">
        <v>1.13944959640502</v>
      </c>
      <c r="G22">
        <v>1.4325523376464799</v>
      </c>
      <c r="H22">
        <f t="shared" si="0"/>
        <v>1.3573256969451839</v>
      </c>
      <c r="I22">
        <f t="shared" si="1"/>
        <v>0.12632801935467275</v>
      </c>
      <c r="K22" s="1">
        <v>1</v>
      </c>
      <c r="L22" s="1" t="e">
        <f>AVERAGE(H62:H64)</f>
        <v>#DIV/0!</v>
      </c>
      <c r="M22" s="1" t="e">
        <f>AVERAGE(I62:I64)</f>
        <v>#DIV/0!</v>
      </c>
    </row>
    <row r="23" spans="1:13" x14ac:dyDescent="0.2">
      <c r="A23" t="s">
        <v>47</v>
      </c>
      <c r="B23" t="s">
        <v>318</v>
      </c>
      <c r="C23">
        <v>1.1649372577667201</v>
      </c>
      <c r="D23">
        <v>1.1613966226577701</v>
      </c>
      <c r="E23">
        <v>1.42118597030639</v>
      </c>
      <c r="F23">
        <v>1.14497578144073</v>
      </c>
      <c r="G23">
        <v>1.15496718883514</v>
      </c>
      <c r="H23">
        <f t="shared" si="0"/>
        <v>1.2094925642013501</v>
      </c>
      <c r="I23">
        <f t="shared" si="1"/>
        <v>0.11858322491968222</v>
      </c>
    </row>
    <row r="24" spans="1:13" x14ac:dyDescent="0.2">
      <c r="A24" t="s">
        <v>49</v>
      </c>
      <c r="B24" t="s">
        <v>319</v>
      </c>
      <c r="C24">
        <v>1.46594202518463</v>
      </c>
      <c r="D24">
        <v>1.3571586608886701</v>
      </c>
      <c r="E24">
        <v>1.50838422775268</v>
      </c>
      <c r="F24">
        <v>1.4835439920425399</v>
      </c>
      <c r="G24">
        <v>1.58159375190734</v>
      </c>
      <c r="H24">
        <f t="shared" si="0"/>
        <v>1.479324531555172</v>
      </c>
      <c r="I24">
        <f t="shared" si="1"/>
        <v>8.1278617504541559E-2</v>
      </c>
    </row>
    <row r="25" spans="1:13" x14ac:dyDescent="0.2">
      <c r="A25" t="s">
        <v>51</v>
      </c>
      <c r="B25" t="s">
        <v>318</v>
      </c>
      <c r="C25">
        <v>1.6020641326904199</v>
      </c>
      <c r="D25">
        <v>1.59247279167175</v>
      </c>
      <c r="E25">
        <v>1.6163803339004501</v>
      </c>
      <c r="F25">
        <v>1.6042194366455</v>
      </c>
      <c r="G25">
        <v>1.5933923721313401</v>
      </c>
      <c r="H25">
        <f t="shared" si="0"/>
        <v>1.6017058134078919</v>
      </c>
      <c r="I25">
        <f t="shared" si="1"/>
        <v>9.697296561595516E-3</v>
      </c>
    </row>
    <row r="26" spans="1:13" x14ac:dyDescent="0.2">
      <c r="A26" t="s">
        <v>53</v>
      </c>
      <c r="B26" t="s">
        <v>320</v>
      </c>
      <c r="C26">
        <v>1.0219873189926101</v>
      </c>
      <c r="D26">
        <v>0.96544462442398005</v>
      </c>
      <c r="E26">
        <v>1.08401715755462</v>
      </c>
      <c r="F26">
        <v>0.97231823205947798</v>
      </c>
      <c r="G26">
        <v>1.19205594062805</v>
      </c>
      <c r="H26">
        <f t="shared" si="0"/>
        <v>1.0471646547317477</v>
      </c>
      <c r="I26">
        <f t="shared" si="1"/>
        <v>9.3895740409580861E-2</v>
      </c>
    </row>
    <row r="27" spans="1:13" x14ac:dyDescent="0.2">
      <c r="A27" t="s">
        <v>55</v>
      </c>
      <c r="B27" t="s">
        <v>171</v>
      </c>
      <c r="C27">
        <v>1.2939581871032699</v>
      </c>
      <c r="D27">
        <v>1.2954641580581601</v>
      </c>
      <c r="E27">
        <v>1.2929310798645</v>
      </c>
      <c r="F27">
        <v>1.2927552461624101</v>
      </c>
      <c r="G27">
        <v>1.2970042228698699</v>
      </c>
      <c r="H27">
        <f t="shared" si="0"/>
        <v>1.2944225788116419</v>
      </c>
      <c r="I27">
        <f t="shared" si="1"/>
        <v>1.8006943314653621E-3</v>
      </c>
    </row>
    <row r="28" spans="1:13" x14ac:dyDescent="0.2">
      <c r="A28" t="s">
        <v>57</v>
      </c>
      <c r="B28" t="s">
        <v>44</v>
      </c>
      <c r="C28">
        <v>1.4840117692947301</v>
      </c>
      <c r="D28">
        <v>1.4890846014022801</v>
      </c>
      <c r="E28">
        <v>1.49671602249145</v>
      </c>
      <c r="F28">
        <v>1.4889891147613501</v>
      </c>
      <c r="G28">
        <v>1.4830365180969201</v>
      </c>
      <c r="H28">
        <f t="shared" si="0"/>
        <v>1.488367605209346</v>
      </c>
      <c r="I28">
        <f t="shared" si="1"/>
        <v>5.4311652777138484E-3</v>
      </c>
    </row>
    <row r="29" spans="1:13" x14ac:dyDescent="0.2">
      <c r="A29" t="s">
        <v>59</v>
      </c>
      <c r="B29" t="s">
        <v>204</v>
      </c>
      <c r="C29">
        <v>1.71310091018676</v>
      </c>
      <c r="D29">
        <v>1.7240475416183401</v>
      </c>
      <c r="E29">
        <v>1.6748708486557</v>
      </c>
      <c r="F29">
        <v>1.8339606523513701</v>
      </c>
      <c r="G29">
        <v>1.99383997917175</v>
      </c>
      <c r="H29">
        <f t="shared" si="0"/>
        <v>1.7879639863967838</v>
      </c>
      <c r="I29">
        <f t="shared" si="1"/>
        <v>0.12940292459686062</v>
      </c>
    </row>
    <row r="30" spans="1:13" x14ac:dyDescent="0.2">
      <c r="A30" t="s">
        <v>61</v>
      </c>
      <c r="B30" t="s">
        <v>133</v>
      </c>
      <c r="C30">
        <v>0.90253889560699396</v>
      </c>
      <c r="D30">
        <v>0.91489881277084295</v>
      </c>
      <c r="E30">
        <v>0.89635783433914096</v>
      </c>
      <c r="F30">
        <v>0.89630764722824097</v>
      </c>
      <c r="G30">
        <v>0.91556453704833896</v>
      </c>
      <c r="H30">
        <f t="shared" si="0"/>
        <v>0.90513354539871149</v>
      </c>
      <c r="I30">
        <f t="shared" si="1"/>
        <v>9.563051608953814E-3</v>
      </c>
    </row>
    <row r="31" spans="1:13" x14ac:dyDescent="0.2">
      <c r="A31" t="s">
        <v>63</v>
      </c>
      <c r="B31" t="s">
        <v>52</v>
      </c>
      <c r="C31">
        <v>1.22926914691925</v>
      </c>
      <c r="D31">
        <v>1.23558938503265</v>
      </c>
      <c r="E31">
        <v>1.2205771207809399</v>
      </c>
      <c r="F31">
        <v>1.22192955017089</v>
      </c>
      <c r="G31">
        <v>1.23615086078643</v>
      </c>
      <c r="H31">
        <f t="shared" si="0"/>
        <v>1.228703212738032</v>
      </c>
      <c r="I31">
        <f t="shared" si="1"/>
        <v>7.3335357585897713E-3</v>
      </c>
    </row>
    <row r="32" spans="1:13" x14ac:dyDescent="0.2">
      <c r="A32" t="s">
        <v>65</v>
      </c>
      <c r="B32" t="s">
        <v>58</v>
      </c>
      <c r="C32">
        <v>1.1459883451461701</v>
      </c>
      <c r="D32">
        <v>1.1591322422027499</v>
      </c>
      <c r="E32">
        <v>1.15430307388305</v>
      </c>
      <c r="F32">
        <v>1.16179251670837</v>
      </c>
      <c r="G32">
        <v>1.1497234106063801</v>
      </c>
      <c r="H32">
        <f t="shared" si="0"/>
        <v>1.1541879177093439</v>
      </c>
      <c r="I32">
        <f t="shared" si="1"/>
        <v>6.5087315482279954E-3</v>
      </c>
    </row>
    <row r="33" spans="1:9" x14ac:dyDescent="0.2">
      <c r="A33" t="s">
        <v>67</v>
      </c>
      <c r="B33" t="s">
        <v>58</v>
      </c>
      <c r="C33">
        <v>1.07830941677093</v>
      </c>
      <c r="D33">
        <v>1.1035075187683101</v>
      </c>
      <c r="E33">
        <v>1.09324502944946</v>
      </c>
      <c r="F33">
        <v>1.11323261260986</v>
      </c>
      <c r="G33">
        <v>1.1003621816635101</v>
      </c>
      <c r="H33">
        <f t="shared" si="0"/>
        <v>1.0977313518524141</v>
      </c>
      <c r="I33">
        <f t="shared" si="1"/>
        <v>1.3018382251821902E-2</v>
      </c>
    </row>
    <row r="34" spans="1:9" x14ac:dyDescent="0.2">
      <c r="A34" t="s">
        <v>69</v>
      </c>
      <c r="B34" t="s">
        <v>136</v>
      </c>
      <c r="C34">
        <v>1.09776806831359</v>
      </c>
      <c r="D34">
        <v>1.1146047115325901</v>
      </c>
      <c r="E34">
        <v>1.0816348791122401</v>
      </c>
      <c r="F34">
        <v>1.0793766975402801</v>
      </c>
      <c r="G34">
        <v>1.1151707172393699</v>
      </c>
      <c r="H34">
        <f t="shared" si="0"/>
        <v>1.0977110147476141</v>
      </c>
      <c r="I34">
        <f t="shared" si="1"/>
        <v>1.7210685501301278E-2</v>
      </c>
    </row>
    <row r="35" spans="1:9" x14ac:dyDescent="0.2">
      <c r="A35" t="s">
        <v>70</v>
      </c>
      <c r="B35" t="s">
        <v>176</v>
      </c>
      <c r="C35">
        <v>1.1092665195464999</v>
      </c>
      <c r="D35">
        <v>1.27752077579498</v>
      </c>
      <c r="E35">
        <v>1.1339414119720399</v>
      </c>
      <c r="F35">
        <v>1.1108925342559799</v>
      </c>
      <c r="G35">
        <v>1.1904428005218499</v>
      </c>
      <c r="H35">
        <f t="shared" si="0"/>
        <v>1.1644128084182699</v>
      </c>
      <c r="I35">
        <f t="shared" si="1"/>
        <v>7.1247827505689726E-2</v>
      </c>
    </row>
    <row r="36" spans="1:9" x14ac:dyDescent="0.2">
      <c r="A36" t="s">
        <v>72</v>
      </c>
      <c r="B36" t="s">
        <v>138</v>
      </c>
      <c r="C36">
        <v>1.3854563236236499</v>
      </c>
      <c r="D36">
        <v>1.38532149791717</v>
      </c>
      <c r="E36">
        <v>1.3864115476608201</v>
      </c>
      <c r="F36">
        <v>1.38635277748107</v>
      </c>
      <c r="G36">
        <v>1.38543224334716</v>
      </c>
      <c r="H36">
        <f t="shared" si="0"/>
        <v>1.3857948780059741</v>
      </c>
      <c r="I36">
        <f t="shared" si="1"/>
        <v>5.3892136753902161E-4</v>
      </c>
    </row>
    <row r="37" spans="1:9" x14ac:dyDescent="0.2">
      <c r="A37" t="s">
        <v>74</v>
      </c>
      <c r="B37" t="s">
        <v>210</v>
      </c>
      <c r="C37">
        <v>1.06822514533996</v>
      </c>
      <c r="D37">
        <v>1.00051510334014</v>
      </c>
      <c r="E37">
        <v>1.06877446174621</v>
      </c>
      <c r="F37">
        <v>1.07969498634338</v>
      </c>
      <c r="G37">
        <v>1.1129968166351301</v>
      </c>
      <c r="H37">
        <f t="shared" si="0"/>
        <v>1.0660413026809641</v>
      </c>
      <c r="I37">
        <f t="shared" si="1"/>
        <v>4.0918105697667004E-2</v>
      </c>
    </row>
    <row r="38" spans="1:9" x14ac:dyDescent="0.2">
      <c r="A38" t="s">
        <v>76</v>
      </c>
      <c r="B38" t="s">
        <v>66</v>
      </c>
      <c r="C38">
        <v>1.40972912311553</v>
      </c>
      <c r="D38">
        <v>1.3979519605636499</v>
      </c>
      <c r="E38">
        <v>1.4248903989791799</v>
      </c>
      <c r="F38">
        <v>1.4284439086914</v>
      </c>
      <c r="G38">
        <v>1.3970311880111601</v>
      </c>
      <c r="H38">
        <f t="shared" si="0"/>
        <v>1.4116093158721839</v>
      </c>
      <c r="I38">
        <f t="shared" si="1"/>
        <v>1.4683076777721111E-2</v>
      </c>
    </row>
    <row r="39" spans="1:9" x14ac:dyDescent="0.2">
      <c r="A39" t="s">
        <v>78</v>
      </c>
      <c r="B39" t="s">
        <v>68</v>
      </c>
      <c r="C39">
        <v>0.70410269498824996</v>
      </c>
      <c r="D39">
        <v>0.66556721925735396</v>
      </c>
      <c r="E39">
        <v>0.64565646648406905</v>
      </c>
      <c r="F39">
        <v>0.69829142093658403</v>
      </c>
      <c r="G39">
        <v>0.72383099794387795</v>
      </c>
      <c r="H39">
        <f t="shared" si="0"/>
        <v>0.6874897599220271</v>
      </c>
      <c r="I39">
        <f t="shared" si="1"/>
        <v>3.1400530657177218E-2</v>
      </c>
    </row>
    <row r="40" spans="1:9" x14ac:dyDescent="0.2">
      <c r="A40" t="s">
        <v>79</v>
      </c>
      <c r="B40" t="s">
        <v>68</v>
      </c>
      <c r="C40">
        <v>1.0280221700668299</v>
      </c>
      <c r="D40">
        <v>0.94568389654159501</v>
      </c>
      <c r="E40">
        <v>0.98669373989105202</v>
      </c>
      <c r="F40">
        <v>1.01209700107574</v>
      </c>
      <c r="G40">
        <v>0.994578957557678</v>
      </c>
      <c r="H40">
        <f t="shared" si="0"/>
        <v>0.99341515302657901</v>
      </c>
      <c r="I40">
        <f t="shared" si="1"/>
        <v>3.1110535820347604E-2</v>
      </c>
    </row>
    <row r="41" spans="1:9" x14ac:dyDescent="0.2">
      <c r="A41" t="s">
        <v>81</v>
      </c>
      <c r="B41" t="s">
        <v>321</v>
      </c>
      <c r="C41">
        <v>1.44174587726593</v>
      </c>
      <c r="D41">
        <v>1.3721562623977599</v>
      </c>
      <c r="E41">
        <v>1.33375692367553</v>
      </c>
      <c r="F41">
        <v>1.3405611515045099</v>
      </c>
      <c r="G41">
        <v>1.4787170886993399</v>
      </c>
      <c r="H41">
        <f t="shared" si="0"/>
        <v>1.3933874607086141</v>
      </c>
      <c r="I41">
        <f t="shared" si="1"/>
        <v>6.4064158344707439E-2</v>
      </c>
    </row>
    <row r="42" spans="1:9" x14ac:dyDescent="0.2">
      <c r="A42" t="s">
        <v>83</v>
      </c>
      <c r="B42" t="s">
        <v>145</v>
      </c>
      <c r="C42">
        <v>1.1022522449493399</v>
      </c>
      <c r="D42">
        <v>1.0920765399932799</v>
      </c>
      <c r="E42">
        <v>1.11932921409606</v>
      </c>
      <c r="F42">
        <v>1.48672664165496</v>
      </c>
      <c r="G42">
        <v>1.18159198760986</v>
      </c>
      <c r="H42">
        <f t="shared" si="0"/>
        <v>1.1963953256606998</v>
      </c>
      <c r="I42">
        <f t="shared" si="1"/>
        <v>0.16597885867261247</v>
      </c>
    </row>
    <row r="43" spans="1:9" x14ac:dyDescent="0.2">
      <c r="A43" t="s">
        <v>85</v>
      </c>
      <c r="B43" t="s">
        <v>142</v>
      </c>
      <c r="C43">
        <v>1.3715916872024501</v>
      </c>
      <c r="D43">
        <v>1.3012285232543901</v>
      </c>
      <c r="E43">
        <v>1.2867716550827</v>
      </c>
      <c r="F43">
        <v>1.3912206888198799</v>
      </c>
      <c r="G43">
        <v>1.56097483634948</v>
      </c>
      <c r="H43">
        <f t="shared" si="0"/>
        <v>1.38235747814178</v>
      </c>
      <c r="I43">
        <f t="shared" si="1"/>
        <v>0.10933569442566944</v>
      </c>
    </row>
    <row r="44" spans="1:9" x14ac:dyDescent="0.2">
      <c r="A44" t="s">
        <v>86</v>
      </c>
      <c r="B44" t="s">
        <v>80</v>
      </c>
      <c r="C44">
        <v>1.8376150131225499</v>
      </c>
      <c r="D44">
        <v>2.7257506847381499</v>
      </c>
      <c r="E44">
        <v>1.8865381479263299</v>
      </c>
      <c r="F44">
        <v>1.8777049779891899</v>
      </c>
      <c r="G44">
        <v>1.84532535076141</v>
      </c>
      <c r="H44">
        <f t="shared" si="0"/>
        <v>2.0345868349075262</v>
      </c>
      <c r="I44">
        <f t="shared" si="1"/>
        <v>0.38692880676494379</v>
      </c>
    </row>
    <row r="45" spans="1:9" x14ac:dyDescent="0.2">
      <c r="A45" t="s">
        <v>88</v>
      </c>
      <c r="B45" t="s">
        <v>73</v>
      </c>
      <c r="C45">
        <v>1.2268041372299101</v>
      </c>
      <c r="D45">
        <v>1.2459083795547401</v>
      </c>
      <c r="E45">
        <v>1.1928836107253999</v>
      </c>
      <c r="F45">
        <v>1.1971528530120801</v>
      </c>
      <c r="G45">
        <v>1.24700963497161</v>
      </c>
      <c r="H45">
        <f t="shared" si="0"/>
        <v>1.2219517230987482</v>
      </c>
      <c r="I45">
        <f t="shared" si="1"/>
        <v>2.5909966100922784E-2</v>
      </c>
    </row>
    <row r="46" spans="1:9" x14ac:dyDescent="0.2">
      <c r="A46" t="s">
        <v>89</v>
      </c>
      <c r="B46" t="s">
        <v>147</v>
      </c>
      <c r="C46">
        <v>1.2680746316909699</v>
      </c>
      <c r="D46">
        <v>1.0888043642044001</v>
      </c>
      <c r="E46">
        <v>1.05223488807678</v>
      </c>
      <c r="F46">
        <v>1.2520318031311</v>
      </c>
      <c r="G46">
        <v>1.1594102382659901</v>
      </c>
      <c r="H46">
        <f t="shared" si="0"/>
        <v>1.1641111850738481</v>
      </c>
      <c r="I46">
        <f t="shared" si="1"/>
        <v>9.5848781046252662E-2</v>
      </c>
    </row>
    <row r="47" spans="1:9" x14ac:dyDescent="0.2">
      <c r="A47" t="s">
        <v>90</v>
      </c>
      <c r="B47" t="s">
        <v>179</v>
      </c>
      <c r="C47">
        <v>0.78151798248291005</v>
      </c>
      <c r="D47">
        <v>0.884679734706878</v>
      </c>
      <c r="E47">
        <v>0.81902354955673196</v>
      </c>
      <c r="F47">
        <v>0.84429329633712702</v>
      </c>
      <c r="G47">
        <v>1.08539938926696</v>
      </c>
      <c r="H47">
        <f t="shared" si="0"/>
        <v>0.88298279047012129</v>
      </c>
      <c r="I47">
        <f t="shared" si="1"/>
        <v>0.11922471199649533</v>
      </c>
    </row>
    <row r="48" spans="1:9" x14ac:dyDescent="0.2">
      <c r="A48" t="s">
        <v>92</v>
      </c>
      <c r="B48" t="s">
        <v>77</v>
      </c>
      <c r="H48" t="e">
        <f t="shared" si="0"/>
        <v>#DIV/0!</v>
      </c>
      <c r="I48" t="e">
        <f t="shared" si="1"/>
        <v>#DIV/0!</v>
      </c>
    </row>
    <row r="49" spans="1:9" x14ac:dyDescent="0.2">
      <c r="A49" t="s">
        <v>93</v>
      </c>
      <c r="B49" t="s">
        <v>80</v>
      </c>
      <c r="C49">
        <v>1.8046008348464899</v>
      </c>
      <c r="D49">
        <v>1.7586795091628999</v>
      </c>
      <c r="E49">
        <v>1.8375791311264</v>
      </c>
      <c r="F49">
        <v>1.8332645893096899</v>
      </c>
      <c r="G49">
        <v>1.7912629842758101</v>
      </c>
      <c r="H49">
        <f t="shared" si="0"/>
        <v>1.8050774097442581</v>
      </c>
      <c r="I49">
        <f t="shared" si="1"/>
        <v>3.2383289045703659E-2</v>
      </c>
    </row>
    <row r="50" spans="1:9" x14ac:dyDescent="0.2">
      <c r="A50" t="s">
        <v>94</v>
      </c>
      <c r="B50" t="s">
        <v>148</v>
      </c>
      <c r="H50" t="e">
        <f t="shared" si="0"/>
        <v>#DIV/0!</v>
      </c>
      <c r="I50" t="e">
        <f t="shared" si="1"/>
        <v>#DIV/0!</v>
      </c>
    </row>
    <row r="51" spans="1:9" x14ac:dyDescent="0.2">
      <c r="A51" t="s">
        <v>96</v>
      </c>
      <c r="B51" t="s">
        <v>84</v>
      </c>
      <c r="H51" t="e">
        <f t="shared" si="0"/>
        <v>#DIV/0!</v>
      </c>
      <c r="I51" t="e">
        <f t="shared" si="1"/>
        <v>#DIV/0!</v>
      </c>
    </row>
    <row r="52" spans="1:9" x14ac:dyDescent="0.2">
      <c r="A52" t="s">
        <v>98</v>
      </c>
      <c r="B52" t="s">
        <v>82</v>
      </c>
      <c r="H52" t="e">
        <f t="shared" si="0"/>
        <v>#DIV/0!</v>
      </c>
      <c r="I52" t="e">
        <f t="shared" si="1"/>
        <v>#DIV/0!</v>
      </c>
    </row>
    <row r="53" spans="1:9" x14ac:dyDescent="0.2">
      <c r="A53" t="s">
        <v>100</v>
      </c>
      <c r="B53" t="s">
        <v>151</v>
      </c>
      <c r="H53" t="e">
        <f t="shared" si="0"/>
        <v>#DIV/0!</v>
      </c>
      <c r="I53" t="e">
        <f t="shared" si="1"/>
        <v>#DIV/0!</v>
      </c>
    </row>
    <row r="54" spans="1:9" x14ac:dyDescent="0.2">
      <c r="A54" t="s">
        <v>101</v>
      </c>
      <c r="B54" t="s">
        <v>99</v>
      </c>
      <c r="H54" t="e">
        <f t="shared" si="0"/>
        <v>#DIV/0!</v>
      </c>
      <c r="I54" t="e">
        <f t="shared" si="1"/>
        <v>#DIV/0!</v>
      </c>
    </row>
    <row r="55" spans="1:9" x14ac:dyDescent="0.2">
      <c r="A55" t="s">
        <v>103</v>
      </c>
      <c r="B55" t="s">
        <v>148</v>
      </c>
      <c r="H55" t="e">
        <f t="shared" si="0"/>
        <v>#DIV/0!</v>
      </c>
      <c r="I55" t="e">
        <f t="shared" si="1"/>
        <v>#DIV/0!</v>
      </c>
    </row>
    <row r="56" spans="1:9" x14ac:dyDescent="0.2">
      <c r="A56" t="s">
        <v>104</v>
      </c>
      <c r="B56" t="s">
        <v>95</v>
      </c>
      <c r="H56" t="e">
        <f t="shared" si="0"/>
        <v>#DIV/0!</v>
      </c>
      <c r="I56" t="e">
        <f t="shared" si="1"/>
        <v>#DIV/0!</v>
      </c>
    </row>
    <row r="57" spans="1:9" x14ac:dyDescent="0.2">
      <c r="A57" t="s">
        <v>106</v>
      </c>
      <c r="B57" t="s">
        <v>91</v>
      </c>
      <c r="H57" t="e">
        <f t="shared" si="0"/>
        <v>#DIV/0!</v>
      </c>
      <c r="I57" t="e">
        <f t="shared" si="1"/>
        <v>#DIV/0!</v>
      </c>
    </row>
    <row r="58" spans="1:9" x14ac:dyDescent="0.2">
      <c r="A58" t="s">
        <v>149</v>
      </c>
      <c r="B58" t="s">
        <v>99</v>
      </c>
      <c r="H58" t="e">
        <f t="shared" si="0"/>
        <v>#DIV/0!</v>
      </c>
      <c r="I58" t="e">
        <f t="shared" si="1"/>
        <v>#DIV/0!</v>
      </c>
    </row>
    <row r="59" spans="1:9" x14ac:dyDescent="0.2">
      <c r="A59" t="s">
        <v>152</v>
      </c>
      <c r="B59" t="s">
        <v>102</v>
      </c>
      <c r="H59" t="e">
        <f t="shared" si="0"/>
        <v>#DIV/0!</v>
      </c>
      <c r="I59" t="e">
        <f t="shared" si="1"/>
        <v>#DIV/0!</v>
      </c>
    </row>
    <row r="60" spans="1:9" x14ac:dyDescent="0.2">
      <c r="A60" t="s">
        <v>107</v>
      </c>
      <c r="B60" t="s">
        <v>97</v>
      </c>
      <c r="H60" t="e">
        <f t="shared" si="0"/>
        <v>#DIV/0!</v>
      </c>
      <c r="I60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bace</vt:lpstr>
      <vt:lpstr>bbbp</vt:lpstr>
      <vt:lpstr>clintox</vt:lpstr>
      <vt:lpstr>sider</vt:lpstr>
      <vt:lpstr>tox21</vt:lpstr>
      <vt:lpstr>delaney</vt:lpstr>
      <vt:lpstr>freesolv</vt:lpstr>
      <vt:lpstr>lipo</vt:lpstr>
      <vt:lpstr>bace!spectra_ensemble_bace</vt:lpstr>
      <vt:lpstr>bbbp!spectra_ensemble_bbbp</vt:lpstr>
      <vt:lpstr>clintox!spectra_ensemble_clintox</vt:lpstr>
      <vt:lpstr>delaney!spectra_ensemble_delaney</vt:lpstr>
      <vt:lpstr>freesolv!spectra_ensemble_freesolv_1</vt:lpstr>
      <vt:lpstr>lipo!spectra_ensemble_lipo</vt:lpstr>
      <vt:lpstr>sider!spectra_ensemble_sider</vt:lpstr>
      <vt:lpstr>'tox21'!spectra_ensemble_tox21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Vy Do</cp:lastModifiedBy>
  <dcterms:created xsi:type="dcterms:W3CDTF">2025-12-30T17:58:16Z</dcterms:created>
  <dcterms:modified xsi:type="dcterms:W3CDTF">2026-01-13T21:15:31Z</dcterms:modified>
</cp:coreProperties>
</file>
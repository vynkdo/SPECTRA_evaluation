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ymac/Desktop/SAGE_Lab/data_splitting_strategies/ensemble_sheet/"/>
    </mc:Choice>
  </mc:AlternateContent>
  <xr:revisionPtr revIDLastSave="0" documentId="13_ncr:1_{8ACC095A-F158-B24F-A87C-AB429943842C}" xr6:coauthVersionLast="47" xr6:coauthVersionMax="47" xr10:uidLastSave="{00000000-0000-0000-0000-000000000000}"/>
  <bookViews>
    <workbookView xWindow="0" yWindow="860" windowWidth="13220" windowHeight="17220" activeTab="4" xr2:uid="{552454A9-BAD3-2547-BBF5-703F9608AD65}"/>
  </bookViews>
  <sheets>
    <sheet name="bace" sheetId="2" r:id="rId1"/>
    <sheet name="bbbp" sheetId="5" r:id="rId2"/>
    <sheet name="clintox" sheetId="1" r:id="rId3"/>
    <sheet name="delaney" sheetId="3" r:id="rId4"/>
    <sheet name="freesolv" sheetId="4" r:id="rId5"/>
    <sheet name="lipo" sheetId="6" r:id="rId6"/>
    <sheet name="sider" sheetId="7" r:id="rId7"/>
    <sheet name="tox21" sheetId="8" r:id="rId8"/>
    <sheet name="summary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4" l="1"/>
  <c r="E33" i="4"/>
  <c r="D34" i="4"/>
  <c r="E34" i="4"/>
  <c r="C34" i="4"/>
  <c r="C33" i="4"/>
  <c r="Y36" i="8" l="1"/>
  <c r="X36" i="8"/>
  <c r="Y35" i="8"/>
  <c r="X35" i="8"/>
  <c r="Y34" i="8"/>
  <c r="X34" i="8"/>
  <c r="Y33" i="8"/>
  <c r="X33" i="8"/>
  <c r="Y32" i="8"/>
  <c r="X32" i="8"/>
  <c r="Y31" i="8"/>
  <c r="X31" i="8"/>
  <c r="Y30" i="8"/>
  <c r="X30" i="8"/>
  <c r="Y29" i="8"/>
  <c r="X29" i="8"/>
  <c r="Y28" i="8"/>
  <c r="X28" i="8"/>
  <c r="Y27" i="8"/>
  <c r="X27" i="8"/>
  <c r="Y26" i="8"/>
  <c r="X26" i="8"/>
  <c r="Y25" i="8"/>
  <c r="X25" i="8"/>
  <c r="Y24" i="8"/>
  <c r="X24" i="8"/>
  <c r="Y23" i="8"/>
  <c r="X23" i="8"/>
  <c r="Y22" i="8"/>
  <c r="X22" i="8"/>
  <c r="Y21" i="8"/>
  <c r="X21" i="8"/>
  <c r="Y20" i="8"/>
  <c r="X20" i="8"/>
  <c r="Y19" i="8"/>
  <c r="X19" i="8"/>
  <c r="Y18" i="8"/>
  <c r="X18" i="8"/>
  <c r="Y17" i="8"/>
  <c r="X17" i="8"/>
  <c r="Y16" i="8"/>
  <c r="X16" i="8"/>
  <c r="Y36" i="6"/>
  <c r="X36" i="6"/>
  <c r="Y35" i="6"/>
  <c r="X35" i="6"/>
  <c r="Y34" i="6"/>
  <c r="X34" i="6"/>
  <c r="Y33" i="6"/>
  <c r="X33" i="6"/>
  <c r="Y32" i="6"/>
  <c r="X32" i="6"/>
  <c r="Y31" i="6"/>
  <c r="X31" i="6"/>
  <c r="Y30" i="6"/>
  <c r="X30" i="6"/>
  <c r="Y29" i="6"/>
  <c r="X29" i="6"/>
  <c r="Y28" i="6"/>
  <c r="X28" i="6"/>
  <c r="Y27" i="6"/>
  <c r="X27" i="6"/>
  <c r="Y26" i="6"/>
  <c r="X26" i="6"/>
  <c r="Y25" i="6"/>
  <c r="X25" i="6"/>
  <c r="Y24" i="6"/>
  <c r="X24" i="6"/>
  <c r="Y23" i="6"/>
  <c r="X23" i="6"/>
  <c r="Y22" i="6"/>
  <c r="X22" i="6"/>
  <c r="Y21" i="6"/>
  <c r="X21" i="6"/>
  <c r="Y20" i="6"/>
  <c r="X20" i="6"/>
  <c r="Y19" i="6"/>
  <c r="X19" i="6"/>
  <c r="Y18" i="6"/>
  <c r="X18" i="6"/>
  <c r="Y17" i="6"/>
  <c r="X17" i="6"/>
  <c r="Y16" i="6"/>
  <c r="X16" i="6"/>
  <c r="Y36" i="3"/>
  <c r="X36" i="3"/>
  <c r="Y35" i="3"/>
  <c r="X35" i="3"/>
  <c r="Y34" i="3"/>
  <c r="X34" i="3"/>
  <c r="Y33" i="3"/>
  <c r="X33" i="3"/>
  <c r="Y32" i="3"/>
  <c r="X32" i="3"/>
  <c r="Y31" i="3"/>
  <c r="X31" i="3"/>
  <c r="Y30" i="3"/>
  <c r="X30" i="3"/>
  <c r="Y29" i="3"/>
  <c r="X29" i="3"/>
  <c r="Y28" i="3"/>
  <c r="X28" i="3"/>
  <c r="Y27" i="3"/>
  <c r="X27" i="3"/>
  <c r="Y26" i="3"/>
  <c r="X26" i="3"/>
  <c r="Y25" i="3"/>
  <c r="X25" i="3"/>
  <c r="Y24" i="3"/>
  <c r="X24" i="3"/>
  <c r="Y23" i="3"/>
  <c r="X23" i="3"/>
  <c r="Y22" i="3"/>
  <c r="X22" i="3"/>
  <c r="Y21" i="3"/>
  <c r="X21" i="3"/>
  <c r="Y20" i="3"/>
  <c r="X20" i="3"/>
  <c r="Y19" i="3"/>
  <c r="X19" i="3"/>
  <c r="Y18" i="3"/>
  <c r="X18" i="3"/>
  <c r="Y17" i="3"/>
  <c r="X17" i="3"/>
  <c r="Y16" i="3"/>
  <c r="X16" i="3"/>
  <c r="Y35" i="1"/>
  <c r="X35" i="1"/>
  <c r="Y34" i="1"/>
  <c r="X34" i="1"/>
  <c r="Y33" i="1"/>
  <c r="X33" i="1"/>
  <c r="Y32" i="1"/>
  <c r="X32" i="1"/>
  <c r="Y31" i="1"/>
  <c r="X31" i="1"/>
  <c r="Y30" i="1"/>
  <c r="X30" i="1"/>
  <c r="Y29" i="1"/>
  <c r="X29" i="1"/>
  <c r="Y28" i="1"/>
  <c r="X28" i="1"/>
  <c r="Y27" i="1"/>
  <c r="X27" i="1"/>
  <c r="Y26" i="1"/>
  <c r="X26" i="1"/>
  <c r="Y25" i="1"/>
  <c r="X25" i="1"/>
  <c r="Y24" i="1"/>
  <c r="X24" i="1"/>
  <c r="Y23" i="1"/>
  <c r="X23" i="1"/>
  <c r="Y22" i="1"/>
  <c r="X22" i="1"/>
  <c r="Y21" i="1"/>
  <c r="X21" i="1"/>
  <c r="Y20" i="1"/>
  <c r="X20" i="1"/>
  <c r="Y19" i="1"/>
  <c r="X19" i="1"/>
  <c r="Y18" i="1"/>
  <c r="X18" i="1"/>
  <c r="Y17" i="1"/>
  <c r="X17" i="1"/>
  <c r="Y16" i="1"/>
  <c r="X16" i="1"/>
  <c r="Y15" i="1"/>
  <c r="X15" i="1"/>
  <c r="Y36" i="5"/>
  <c r="X36" i="5"/>
  <c r="Y35" i="5"/>
  <c r="X35" i="5"/>
  <c r="Y34" i="5"/>
  <c r="X34" i="5"/>
  <c r="Y33" i="5"/>
  <c r="X33" i="5"/>
  <c r="Y32" i="5"/>
  <c r="X32" i="5"/>
  <c r="Y31" i="5"/>
  <c r="X31" i="5"/>
  <c r="Y30" i="5"/>
  <c r="X30" i="5"/>
  <c r="Y29" i="5"/>
  <c r="X29" i="5"/>
  <c r="Y28" i="5"/>
  <c r="X28" i="5"/>
  <c r="Y27" i="5"/>
  <c r="X27" i="5"/>
  <c r="Y26" i="5"/>
  <c r="X26" i="5"/>
  <c r="Y25" i="5"/>
  <c r="X25" i="5"/>
  <c r="Y24" i="5"/>
  <c r="X24" i="5"/>
  <c r="Y23" i="5"/>
  <c r="X23" i="5"/>
  <c r="Y22" i="5"/>
  <c r="X22" i="5"/>
  <c r="Y21" i="5"/>
  <c r="X21" i="5"/>
  <c r="Y20" i="5"/>
  <c r="X20" i="5"/>
  <c r="Y19" i="5"/>
  <c r="X19" i="5"/>
  <c r="Y18" i="5"/>
  <c r="X18" i="5"/>
  <c r="Y17" i="5"/>
  <c r="X17" i="5"/>
  <c r="Y16" i="5"/>
  <c r="X16" i="5"/>
  <c r="Y36" i="2"/>
  <c r="X36" i="2"/>
  <c r="Y35" i="2"/>
  <c r="X35" i="2"/>
  <c r="Y34" i="2"/>
  <c r="X34" i="2"/>
  <c r="Y33" i="2"/>
  <c r="X33" i="2"/>
  <c r="Y32" i="2"/>
  <c r="X32" i="2"/>
  <c r="Y31" i="2"/>
  <c r="X31" i="2"/>
  <c r="Y30" i="2"/>
  <c r="X30" i="2"/>
  <c r="Y29" i="2"/>
  <c r="X29" i="2"/>
  <c r="Y28" i="2"/>
  <c r="X28" i="2"/>
  <c r="Y27" i="2"/>
  <c r="X27" i="2"/>
  <c r="Y26" i="2"/>
  <c r="X26" i="2"/>
  <c r="Y25" i="2"/>
  <c r="X25" i="2"/>
  <c r="Y24" i="2"/>
  <c r="X24" i="2"/>
  <c r="Y23" i="2"/>
  <c r="X23" i="2"/>
  <c r="Y22" i="2"/>
  <c r="X22" i="2"/>
  <c r="Y21" i="2"/>
  <c r="X21" i="2"/>
  <c r="Y20" i="2"/>
  <c r="X20" i="2"/>
  <c r="Y19" i="2"/>
  <c r="X19" i="2"/>
  <c r="Y18" i="2"/>
  <c r="X18" i="2"/>
  <c r="Y17" i="2"/>
  <c r="X17" i="2"/>
  <c r="Y16" i="2"/>
  <c r="X16" i="2"/>
  <c r="Y28" i="7"/>
  <c r="Y29" i="7"/>
  <c r="Y30" i="7"/>
  <c r="Y31" i="7"/>
  <c r="Y32" i="7"/>
  <c r="Y33" i="7"/>
  <c r="Y34" i="7"/>
  <c r="Y35" i="7"/>
  <c r="Y36" i="7"/>
  <c r="X36" i="7"/>
  <c r="X35" i="7"/>
  <c r="X34" i="7"/>
  <c r="X33" i="7"/>
  <c r="X32" i="7"/>
  <c r="X31" i="7"/>
  <c r="X30" i="7"/>
  <c r="X29" i="7"/>
  <c r="X28" i="7"/>
  <c r="Y27" i="7"/>
  <c r="X27" i="7"/>
  <c r="Y26" i="7"/>
  <c r="X26" i="7"/>
  <c r="Y25" i="7"/>
  <c r="X25" i="7"/>
  <c r="Y24" i="7"/>
  <c r="X24" i="7"/>
  <c r="Y23" i="7"/>
  <c r="X23" i="7"/>
  <c r="Y22" i="7"/>
  <c r="X22" i="7"/>
  <c r="Y21" i="7"/>
  <c r="X21" i="7"/>
  <c r="Y20" i="7"/>
  <c r="X20" i="7"/>
  <c r="Y19" i="7"/>
  <c r="X19" i="7"/>
  <c r="Y18" i="7"/>
  <c r="X18" i="7"/>
  <c r="Y17" i="7"/>
  <c r="X17" i="7"/>
  <c r="Y16" i="7"/>
  <c r="X16" i="7"/>
  <c r="C21" i="1"/>
  <c r="C9" i="6"/>
  <c r="D9" i="6"/>
  <c r="E9" i="6"/>
  <c r="F9" i="6"/>
  <c r="G9" i="6"/>
  <c r="S79" i="8"/>
  <c r="R79" i="8"/>
  <c r="S78" i="8"/>
  <c r="R78" i="8"/>
  <c r="S77" i="8"/>
  <c r="R77" i="8"/>
  <c r="S76" i="8"/>
  <c r="R76" i="8"/>
  <c r="S75" i="8"/>
  <c r="R75" i="8"/>
  <c r="S74" i="8"/>
  <c r="R74" i="8"/>
  <c r="S73" i="8"/>
  <c r="R73" i="8"/>
  <c r="S72" i="8"/>
  <c r="R72" i="8"/>
  <c r="S71" i="8"/>
  <c r="R71" i="8"/>
  <c r="S70" i="8"/>
  <c r="R70" i="8"/>
  <c r="S69" i="8"/>
  <c r="R69" i="8"/>
  <c r="S68" i="8"/>
  <c r="R68" i="8"/>
  <c r="S67" i="8"/>
  <c r="R67" i="8"/>
  <c r="S66" i="8"/>
  <c r="R66" i="8"/>
  <c r="S65" i="8"/>
  <c r="R65" i="8"/>
  <c r="S64" i="8"/>
  <c r="R64" i="8"/>
  <c r="S63" i="8"/>
  <c r="R63" i="8"/>
  <c r="S62" i="8"/>
  <c r="R62" i="8"/>
  <c r="S61" i="8"/>
  <c r="R61" i="8"/>
  <c r="S60" i="8"/>
  <c r="R60" i="8"/>
  <c r="S59" i="8"/>
  <c r="R59" i="8"/>
  <c r="S58" i="8"/>
  <c r="R58" i="8"/>
  <c r="S57" i="8"/>
  <c r="R57" i="8"/>
  <c r="S56" i="8"/>
  <c r="R56" i="8"/>
  <c r="S55" i="8"/>
  <c r="R55" i="8"/>
  <c r="S54" i="8"/>
  <c r="R54" i="8"/>
  <c r="S53" i="8"/>
  <c r="R53" i="8"/>
  <c r="S52" i="8"/>
  <c r="R52" i="8"/>
  <c r="S51" i="8"/>
  <c r="R51" i="8"/>
  <c r="S50" i="8"/>
  <c r="R50" i="8"/>
  <c r="S49" i="8"/>
  <c r="R49" i="8"/>
  <c r="S48" i="8"/>
  <c r="R48" i="8"/>
  <c r="S47" i="8"/>
  <c r="R47" i="8"/>
  <c r="S46" i="8"/>
  <c r="R46" i="8"/>
  <c r="S45" i="8"/>
  <c r="R45" i="8"/>
  <c r="S44" i="8"/>
  <c r="R44" i="8"/>
  <c r="S43" i="8"/>
  <c r="R43" i="8"/>
  <c r="S42" i="8"/>
  <c r="R42" i="8"/>
  <c r="S41" i="8"/>
  <c r="R41" i="8"/>
  <c r="S40" i="8"/>
  <c r="R40" i="8"/>
  <c r="S39" i="8"/>
  <c r="R39" i="8"/>
  <c r="S38" i="8"/>
  <c r="R38" i="8"/>
  <c r="S37" i="8"/>
  <c r="R37" i="8"/>
  <c r="S36" i="8"/>
  <c r="R36" i="8"/>
  <c r="S35" i="8"/>
  <c r="R35" i="8"/>
  <c r="S34" i="8"/>
  <c r="R34" i="8"/>
  <c r="S33" i="8"/>
  <c r="R33" i="8"/>
  <c r="S32" i="8"/>
  <c r="R32" i="8"/>
  <c r="S31" i="8"/>
  <c r="R31" i="8"/>
  <c r="S30" i="8"/>
  <c r="R30" i="8"/>
  <c r="S29" i="8"/>
  <c r="R29" i="8"/>
  <c r="S28" i="8"/>
  <c r="R28" i="8"/>
  <c r="S27" i="8"/>
  <c r="R27" i="8"/>
  <c r="S26" i="8"/>
  <c r="R26" i="8"/>
  <c r="S25" i="8"/>
  <c r="R25" i="8"/>
  <c r="S24" i="8"/>
  <c r="R24" i="8"/>
  <c r="S23" i="8"/>
  <c r="R23" i="8"/>
  <c r="I23" i="8"/>
  <c r="G23" i="8"/>
  <c r="F23" i="8"/>
  <c r="E23" i="8"/>
  <c r="D23" i="8"/>
  <c r="C23" i="8"/>
  <c r="S22" i="8"/>
  <c r="R22" i="8"/>
  <c r="I22" i="8"/>
  <c r="G22" i="8"/>
  <c r="F22" i="8"/>
  <c r="E22" i="8"/>
  <c r="D22" i="8"/>
  <c r="C22" i="8"/>
  <c r="S21" i="8"/>
  <c r="R21" i="8"/>
  <c r="S20" i="8"/>
  <c r="R20" i="8"/>
  <c r="S19" i="8"/>
  <c r="R19" i="8"/>
  <c r="S18" i="8"/>
  <c r="R18" i="8"/>
  <c r="S17" i="8"/>
  <c r="R17" i="8"/>
  <c r="R10" i="8"/>
  <c r="P10" i="8"/>
  <c r="O10" i="8"/>
  <c r="N10" i="8"/>
  <c r="M10" i="8"/>
  <c r="L10" i="8"/>
  <c r="I10" i="8"/>
  <c r="G10" i="8"/>
  <c r="F10" i="8"/>
  <c r="E10" i="8"/>
  <c r="D10" i="8"/>
  <c r="C10" i="8"/>
  <c r="R9" i="8"/>
  <c r="P9" i="8"/>
  <c r="O9" i="8"/>
  <c r="N9" i="8"/>
  <c r="M9" i="8"/>
  <c r="L9" i="8"/>
  <c r="I9" i="8"/>
  <c r="G9" i="8"/>
  <c r="F9" i="8"/>
  <c r="E9" i="8"/>
  <c r="D9" i="8"/>
  <c r="C9" i="8"/>
  <c r="S79" i="7"/>
  <c r="R79" i="7"/>
  <c r="S78" i="7"/>
  <c r="R78" i="7"/>
  <c r="S77" i="7"/>
  <c r="R77" i="7"/>
  <c r="S76" i="7"/>
  <c r="R76" i="7"/>
  <c r="S75" i="7"/>
  <c r="R75" i="7"/>
  <c r="S74" i="7"/>
  <c r="R74" i="7"/>
  <c r="S73" i="7"/>
  <c r="R73" i="7"/>
  <c r="S72" i="7"/>
  <c r="R72" i="7"/>
  <c r="S71" i="7"/>
  <c r="R71" i="7"/>
  <c r="S70" i="7"/>
  <c r="R70" i="7"/>
  <c r="S69" i="7"/>
  <c r="R69" i="7"/>
  <c r="S68" i="7"/>
  <c r="R68" i="7"/>
  <c r="S67" i="7"/>
  <c r="R67" i="7"/>
  <c r="S66" i="7"/>
  <c r="R66" i="7"/>
  <c r="S65" i="7"/>
  <c r="R65" i="7"/>
  <c r="S64" i="7"/>
  <c r="R64" i="7"/>
  <c r="S63" i="7"/>
  <c r="R63" i="7"/>
  <c r="S62" i="7"/>
  <c r="R62" i="7"/>
  <c r="S61" i="7"/>
  <c r="R61" i="7"/>
  <c r="S60" i="7"/>
  <c r="R60" i="7"/>
  <c r="S59" i="7"/>
  <c r="R59" i="7"/>
  <c r="S58" i="7"/>
  <c r="R58" i="7"/>
  <c r="S57" i="7"/>
  <c r="R57" i="7"/>
  <c r="S56" i="7"/>
  <c r="R56" i="7"/>
  <c r="S55" i="7"/>
  <c r="R55" i="7"/>
  <c r="S54" i="7"/>
  <c r="R54" i="7"/>
  <c r="S53" i="7"/>
  <c r="R53" i="7"/>
  <c r="S52" i="7"/>
  <c r="R52" i="7"/>
  <c r="S51" i="7"/>
  <c r="R51" i="7"/>
  <c r="S50" i="7"/>
  <c r="R50" i="7"/>
  <c r="S49" i="7"/>
  <c r="R49" i="7"/>
  <c r="S48" i="7"/>
  <c r="R48" i="7"/>
  <c r="S47" i="7"/>
  <c r="R47" i="7"/>
  <c r="S46" i="7"/>
  <c r="R46" i="7"/>
  <c r="S45" i="7"/>
  <c r="R45" i="7"/>
  <c r="S44" i="7"/>
  <c r="R44" i="7"/>
  <c r="S43" i="7"/>
  <c r="R43" i="7"/>
  <c r="S42" i="7"/>
  <c r="R42" i="7"/>
  <c r="S41" i="7"/>
  <c r="R41" i="7"/>
  <c r="S40" i="7"/>
  <c r="R40" i="7"/>
  <c r="S39" i="7"/>
  <c r="R39" i="7"/>
  <c r="S38" i="7"/>
  <c r="R38" i="7"/>
  <c r="S37" i="7"/>
  <c r="R37" i="7"/>
  <c r="S36" i="7"/>
  <c r="R36" i="7"/>
  <c r="S35" i="7"/>
  <c r="R35" i="7"/>
  <c r="S34" i="7"/>
  <c r="R34" i="7"/>
  <c r="S33" i="7"/>
  <c r="R33" i="7"/>
  <c r="S32" i="7"/>
  <c r="R32" i="7"/>
  <c r="S31" i="7"/>
  <c r="R31" i="7"/>
  <c r="S30" i="7"/>
  <c r="R30" i="7"/>
  <c r="S29" i="7"/>
  <c r="R29" i="7"/>
  <c r="S28" i="7"/>
  <c r="R28" i="7"/>
  <c r="S27" i="7"/>
  <c r="R27" i="7"/>
  <c r="S26" i="7"/>
  <c r="R26" i="7"/>
  <c r="S25" i="7"/>
  <c r="R25" i="7"/>
  <c r="S24" i="7"/>
  <c r="R24" i="7"/>
  <c r="S23" i="7"/>
  <c r="R23" i="7"/>
  <c r="I23" i="7"/>
  <c r="G23" i="7"/>
  <c r="F23" i="7"/>
  <c r="E23" i="7"/>
  <c r="D23" i="7"/>
  <c r="C23" i="7"/>
  <c r="S22" i="7"/>
  <c r="R22" i="7"/>
  <c r="I22" i="7"/>
  <c r="G22" i="7"/>
  <c r="F22" i="7"/>
  <c r="E22" i="7"/>
  <c r="D22" i="7"/>
  <c r="C22" i="7"/>
  <c r="S21" i="7"/>
  <c r="R21" i="7"/>
  <c r="S20" i="7"/>
  <c r="R20" i="7"/>
  <c r="S19" i="7"/>
  <c r="R19" i="7"/>
  <c r="S18" i="7"/>
  <c r="R18" i="7"/>
  <c r="S17" i="7"/>
  <c r="R17" i="7"/>
  <c r="R10" i="7"/>
  <c r="P10" i="7"/>
  <c r="O10" i="7"/>
  <c r="N10" i="7"/>
  <c r="M10" i="7"/>
  <c r="L10" i="7"/>
  <c r="I10" i="7"/>
  <c r="G10" i="7"/>
  <c r="F10" i="7"/>
  <c r="E10" i="7"/>
  <c r="D10" i="7"/>
  <c r="C10" i="7"/>
  <c r="R9" i="7"/>
  <c r="P9" i="7"/>
  <c r="O9" i="7"/>
  <c r="N9" i="7"/>
  <c r="M9" i="7"/>
  <c r="L9" i="7"/>
  <c r="I9" i="7"/>
  <c r="G9" i="7"/>
  <c r="F9" i="7"/>
  <c r="E9" i="7"/>
  <c r="D9" i="7"/>
  <c r="C9" i="7"/>
  <c r="S79" i="6"/>
  <c r="R79" i="6"/>
  <c r="S78" i="6"/>
  <c r="R78" i="6"/>
  <c r="S77" i="6"/>
  <c r="R77" i="6"/>
  <c r="S76" i="6"/>
  <c r="R76" i="6"/>
  <c r="S75" i="6"/>
  <c r="R75" i="6"/>
  <c r="S74" i="6"/>
  <c r="R74" i="6"/>
  <c r="S73" i="6"/>
  <c r="R73" i="6"/>
  <c r="S72" i="6"/>
  <c r="R72" i="6"/>
  <c r="S71" i="6"/>
  <c r="R71" i="6"/>
  <c r="S70" i="6"/>
  <c r="R70" i="6"/>
  <c r="S69" i="6"/>
  <c r="R69" i="6"/>
  <c r="S68" i="6"/>
  <c r="R68" i="6"/>
  <c r="S67" i="6"/>
  <c r="R67" i="6"/>
  <c r="S66" i="6"/>
  <c r="R66" i="6"/>
  <c r="S65" i="6"/>
  <c r="R65" i="6"/>
  <c r="S64" i="6"/>
  <c r="R64" i="6"/>
  <c r="S63" i="6"/>
  <c r="R63" i="6"/>
  <c r="S62" i="6"/>
  <c r="R62" i="6"/>
  <c r="S61" i="6"/>
  <c r="R61" i="6"/>
  <c r="S60" i="6"/>
  <c r="R60" i="6"/>
  <c r="S59" i="6"/>
  <c r="R59" i="6"/>
  <c r="S58" i="6"/>
  <c r="R58" i="6"/>
  <c r="S57" i="6"/>
  <c r="R57" i="6"/>
  <c r="S56" i="6"/>
  <c r="R56" i="6"/>
  <c r="S55" i="6"/>
  <c r="R55" i="6"/>
  <c r="S54" i="6"/>
  <c r="R54" i="6"/>
  <c r="S53" i="6"/>
  <c r="R53" i="6"/>
  <c r="S52" i="6"/>
  <c r="R52" i="6"/>
  <c r="S51" i="6"/>
  <c r="R51" i="6"/>
  <c r="S50" i="6"/>
  <c r="R50" i="6"/>
  <c r="S49" i="6"/>
  <c r="R49" i="6"/>
  <c r="S48" i="6"/>
  <c r="R48" i="6"/>
  <c r="S47" i="6"/>
  <c r="R47" i="6"/>
  <c r="S46" i="6"/>
  <c r="R46" i="6"/>
  <c r="S45" i="6"/>
  <c r="R45" i="6"/>
  <c r="S44" i="6"/>
  <c r="R44" i="6"/>
  <c r="S43" i="6"/>
  <c r="R43" i="6"/>
  <c r="S42" i="6"/>
  <c r="R42" i="6"/>
  <c r="S41" i="6"/>
  <c r="R41" i="6"/>
  <c r="S40" i="6"/>
  <c r="R40" i="6"/>
  <c r="S39" i="6"/>
  <c r="R39" i="6"/>
  <c r="S38" i="6"/>
  <c r="R38" i="6"/>
  <c r="S37" i="6"/>
  <c r="R37" i="6"/>
  <c r="S36" i="6"/>
  <c r="R36" i="6"/>
  <c r="S35" i="6"/>
  <c r="R35" i="6"/>
  <c r="S34" i="6"/>
  <c r="R34" i="6"/>
  <c r="S33" i="6"/>
  <c r="R33" i="6"/>
  <c r="S32" i="6"/>
  <c r="R32" i="6"/>
  <c r="S31" i="6"/>
  <c r="R31" i="6"/>
  <c r="S30" i="6"/>
  <c r="R30" i="6"/>
  <c r="S29" i="6"/>
  <c r="R29" i="6"/>
  <c r="S28" i="6"/>
  <c r="R28" i="6"/>
  <c r="S27" i="6"/>
  <c r="R27" i="6"/>
  <c r="S26" i="6"/>
  <c r="R26" i="6"/>
  <c r="S25" i="6"/>
  <c r="R25" i="6"/>
  <c r="S24" i="6"/>
  <c r="R24" i="6"/>
  <c r="S23" i="6"/>
  <c r="R23" i="6"/>
  <c r="I23" i="6"/>
  <c r="G23" i="6"/>
  <c r="F23" i="6"/>
  <c r="E23" i="6"/>
  <c r="D23" i="6"/>
  <c r="C23" i="6"/>
  <c r="S22" i="6"/>
  <c r="R22" i="6"/>
  <c r="I22" i="6"/>
  <c r="G22" i="6"/>
  <c r="F22" i="6"/>
  <c r="E22" i="6"/>
  <c r="D22" i="6"/>
  <c r="C22" i="6"/>
  <c r="S21" i="6"/>
  <c r="R21" i="6"/>
  <c r="S20" i="6"/>
  <c r="R20" i="6"/>
  <c r="S19" i="6"/>
  <c r="R19" i="6"/>
  <c r="S18" i="6"/>
  <c r="R18" i="6"/>
  <c r="S17" i="6"/>
  <c r="R17" i="6"/>
  <c r="R10" i="6"/>
  <c r="P10" i="6"/>
  <c r="O10" i="6"/>
  <c r="N10" i="6"/>
  <c r="M10" i="6"/>
  <c r="L10" i="6"/>
  <c r="I10" i="6"/>
  <c r="G10" i="6"/>
  <c r="F10" i="6"/>
  <c r="E10" i="6"/>
  <c r="D10" i="6"/>
  <c r="C10" i="6"/>
  <c r="R9" i="6"/>
  <c r="P9" i="6"/>
  <c r="O9" i="6"/>
  <c r="N9" i="6"/>
  <c r="M9" i="6"/>
  <c r="L9" i="6"/>
  <c r="I9" i="6"/>
  <c r="S79" i="3"/>
  <c r="R79" i="3"/>
  <c r="S78" i="3"/>
  <c r="R78" i="3"/>
  <c r="S77" i="3"/>
  <c r="R77" i="3"/>
  <c r="S76" i="3"/>
  <c r="R76" i="3"/>
  <c r="S75" i="3"/>
  <c r="R75" i="3"/>
  <c r="S74" i="3"/>
  <c r="R74" i="3"/>
  <c r="S73" i="3"/>
  <c r="R73" i="3"/>
  <c r="S72" i="3"/>
  <c r="R72" i="3"/>
  <c r="S71" i="3"/>
  <c r="R71" i="3"/>
  <c r="S70" i="3"/>
  <c r="R70" i="3"/>
  <c r="S69" i="3"/>
  <c r="R69" i="3"/>
  <c r="S68" i="3"/>
  <c r="R68" i="3"/>
  <c r="S67" i="3"/>
  <c r="R67" i="3"/>
  <c r="S66" i="3"/>
  <c r="R66" i="3"/>
  <c r="S65" i="3"/>
  <c r="R65" i="3"/>
  <c r="S64" i="3"/>
  <c r="R64" i="3"/>
  <c r="S63" i="3"/>
  <c r="R63" i="3"/>
  <c r="S62" i="3"/>
  <c r="R62" i="3"/>
  <c r="S61" i="3"/>
  <c r="R61" i="3"/>
  <c r="S60" i="3"/>
  <c r="R60" i="3"/>
  <c r="S59" i="3"/>
  <c r="R59" i="3"/>
  <c r="S58" i="3"/>
  <c r="R58" i="3"/>
  <c r="S57" i="3"/>
  <c r="R57" i="3"/>
  <c r="S56" i="3"/>
  <c r="R56" i="3"/>
  <c r="S55" i="3"/>
  <c r="R55" i="3"/>
  <c r="S54" i="3"/>
  <c r="R54" i="3"/>
  <c r="S53" i="3"/>
  <c r="R53" i="3"/>
  <c r="S52" i="3"/>
  <c r="R52" i="3"/>
  <c r="S51" i="3"/>
  <c r="R51" i="3"/>
  <c r="S50" i="3"/>
  <c r="R50" i="3"/>
  <c r="S49" i="3"/>
  <c r="R49" i="3"/>
  <c r="S48" i="3"/>
  <c r="R48" i="3"/>
  <c r="S47" i="3"/>
  <c r="R47" i="3"/>
  <c r="S46" i="3"/>
  <c r="R46" i="3"/>
  <c r="S45" i="3"/>
  <c r="R45" i="3"/>
  <c r="S44" i="3"/>
  <c r="R44" i="3"/>
  <c r="S43" i="3"/>
  <c r="R43" i="3"/>
  <c r="S42" i="3"/>
  <c r="R42" i="3"/>
  <c r="S41" i="3"/>
  <c r="R41" i="3"/>
  <c r="S40" i="3"/>
  <c r="R40" i="3"/>
  <c r="S39" i="3"/>
  <c r="R39" i="3"/>
  <c r="S38" i="3"/>
  <c r="R38" i="3"/>
  <c r="S37" i="3"/>
  <c r="R37" i="3"/>
  <c r="S36" i="3"/>
  <c r="R36" i="3"/>
  <c r="S35" i="3"/>
  <c r="R35" i="3"/>
  <c r="S34" i="3"/>
  <c r="R34" i="3"/>
  <c r="S33" i="3"/>
  <c r="R33" i="3"/>
  <c r="S32" i="3"/>
  <c r="R32" i="3"/>
  <c r="S31" i="3"/>
  <c r="R31" i="3"/>
  <c r="S30" i="3"/>
  <c r="R30" i="3"/>
  <c r="S29" i="3"/>
  <c r="R29" i="3"/>
  <c r="S28" i="3"/>
  <c r="R28" i="3"/>
  <c r="S27" i="3"/>
  <c r="R27" i="3"/>
  <c r="S26" i="3"/>
  <c r="R26" i="3"/>
  <c r="S25" i="3"/>
  <c r="R25" i="3"/>
  <c r="S24" i="3"/>
  <c r="R24" i="3"/>
  <c r="S23" i="3"/>
  <c r="R23" i="3"/>
  <c r="I23" i="3"/>
  <c r="G23" i="3"/>
  <c r="F23" i="3"/>
  <c r="E23" i="3"/>
  <c r="D23" i="3"/>
  <c r="C23" i="3"/>
  <c r="S22" i="3"/>
  <c r="R22" i="3"/>
  <c r="I22" i="3"/>
  <c r="G22" i="3"/>
  <c r="F22" i="3"/>
  <c r="E22" i="3"/>
  <c r="D22" i="3"/>
  <c r="C22" i="3"/>
  <c r="S21" i="3"/>
  <c r="R21" i="3"/>
  <c r="S20" i="3"/>
  <c r="R20" i="3"/>
  <c r="S19" i="3"/>
  <c r="R19" i="3"/>
  <c r="S18" i="3"/>
  <c r="R18" i="3"/>
  <c r="S17" i="3"/>
  <c r="R17" i="3"/>
  <c r="R10" i="3"/>
  <c r="P10" i="3"/>
  <c r="O10" i="3"/>
  <c r="N10" i="3"/>
  <c r="M10" i="3"/>
  <c r="L10" i="3"/>
  <c r="I10" i="3"/>
  <c r="G10" i="3"/>
  <c r="F10" i="3"/>
  <c r="E10" i="3"/>
  <c r="D10" i="3"/>
  <c r="C10" i="3"/>
  <c r="R9" i="3"/>
  <c r="P9" i="3"/>
  <c r="O9" i="3"/>
  <c r="N9" i="3"/>
  <c r="M9" i="3"/>
  <c r="L9" i="3"/>
  <c r="I9" i="3"/>
  <c r="G9" i="3"/>
  <c r="F9" i="3"/>
  <c r="E9" i="3"/>
  <c r="D9" i="3"/>
  <c r="C9" i="3"/>
  <c r="S79" i="5"/>
  <c r="R79" i="5"/>
  <c r="S78" i="5"/>
  <c r="R78" i="5"/>
  <c r="S77" i="5"/>
  <c r="R77" i="5"/>
  <c r="S76" i="5"/>
  <c r="R76" i="5"/>
  <c r="S75" i="5"/>
  <c r="R75" i="5"/>
  <c r="S74" i="5"/>
  <c r="R74" i="5"/>
  <c r="S73" i="5"/>
  <c r="R73" i="5"/>
  <c r="S72" i="5"/>
  <c r="R72" i="5"/>
  <c r="S71" i="5"/>
  <c r="R71" i="5"/>
  <c r="S70" i="5"/>
  <c r="R70" i="5"/>
  <c r="S69" i="5"/>
  <c r="R69" i="5"/>
  <c r="S68" i="5"/>
  <c r="R68" i="5"/>
  <c r="S67" i="5"/>
  <c r="R67" i="5"/>
  <c r="S66" i="5"/>
  <c r="R66" i="5"/>
  <c r="S65" i="5"/>
  <c r="R65" i="5"/>
  <c r="S64" i="5"/>
  <c r="R64" i="5"/>
  <c r="S63" i="5"/>
  <c r="R63" i="5"/>
  <c r="S62" i="5"/>
  <c r="R62" i="5"/>
  <c r="S61" i="5"/>
  <c r="R61" i="5"/>
  <c r="S60" i="5"/>
  <c r="R60" i="5"/>
  <c r="S59" i="5"/>
  <c r="R59" i="5"/>
  <c r="S58" i="5"/>
  <c r="R58" i="5"/>
  <c r="S57" i="5"/>
  <c r="R57" i="5"/>
  <c r="S56" i="5"/>
  <c r="R56" i="5"/>
  <c r="S55" i="5"/>
  <c r="R55" i="5"/>
  <c r="S54" i="5"/>
  <c r="R54" i="5"/>
  <c r="S53" i="5"/>
  <c r="R53" i="5"/>
  <c r="S52" i="5"/>
  <c r="R52" i="5"/>
  <c r="S51" i="5"/>
  <c r="R51" i="5"/>
  <c r="S50" i="5"/>
  <c r="R50" i="5"/>
  <c r="S49" i="5"/>
  <c r="R49" i="5"/>
  <c r="S48" i="5"/>
  <c r="R48" i="5"/>
  <c r="S47" i="5"/>
  <c r="R47" i="5"/>
  <c r="S46" i="5"/>
  <c r="R46" i="5"/>
  <c r="S45" i="5"/>
  <c r="R45" i="5"/>
  <c r="S44" i="5"/>
  <c r="R44" i="5"/>
  <c r="S43" i="5"/>
  <c r="R43" i="5"/>
  <c r="S42" i="5"/>
  <c r="R42" i="5"/>
  <c r="S41" i="5"/>
  <c r="R41" i="5"/>
  <c r="S40" i="5"/>
  <c r="R40" i="5"/>
  <c r="S39" i="5"/>
  <c r="R39" i="5"/>
  <c r="S38" i="5"/>
  <c r="R38" i="5"/>
  <c r="S37" i="5"/>
  <c r="R37" i="5"/>
  <c r="S36" i="5"/>
  <c r="R36" i="5"/>
  <c r="S35" i="5"/>
  <c r="R35" i="5"/>
  <c r="S34" i="5"/>
  <c r="R34" i="5"/>
  <c r="S33" i="5"/>
  <c r="R33" i="5"/>
  <c r="S32" i="5"/>
  <c r="R32" i="5"/>
  <c r="S31" i="5"/>
  <c r="R31" i="5"/>
  <c r="S30" i="5"/>
  <c r="R30" i="5"/>
  <c r="S29" i="5"/>
  <c r="R29" i="5"/>
  <c r="S28" i="5"/>
  <c r="R28" i="5"/>
  <c r="S27" i="5"/>
  <c r="R27" i="5"/>
  <c r="S26" i="5"/>
  <c r="R26" i="5"/>
  <c r="S25" i="5"/>
  <c r="R25" i="5"/>
  <c r="S24" i="5"/>
  <c r="R24" i="5"/>
  <c r="S23" i="5"/>
  <c r="R23" i="5"/>
  <c r="I23" i="5"/>
  <c r="G23" i="5"/>
  <c r="F23" i="5"/>
  <c r="E23" i="5"/>
  <c r="D23" i="5"/>
  <c r="C23" i="5"/>
  <c r="S22" i="5"/>
  <c r="R22" i="5"/>
  <c r="I22" i="5"/>
  <c r="G22" i="5"/>
  <c r="F22" i="5"/>
  <c r="E22" i="5"/>
  <c r="D22" i="5"/>
  <c r="C22" i="5"/>
  <c r="S21" i="5"/>
  <c r="R21" i="5"/>
  <c r="S20" i="5"/>
  <c r="R20" i="5"/>
  <c r="S19" i="5"/>
  <c r="R19" i="5"/>
  <c r="S18" i="5"/>
  <c r="R18" i="5"/>
  <c r="S17" i="5"/>
  <c r="R17" i="5"/>
  <c r="R10" i="5"/>
  <c r="P10" i="5"/>
  <c r="O10" i="5"/>
  <c r="N10" i="5"/>
  <c r="M10" i="5"/>
  <c r="L10" i="5"/>
  <c r="I10" i="5"/>
  <c r="G10" i="5"/>
  <c r="F10" i="5"/>
  <c r="E10" i="5"/>
  <c r="D10" i="5"/>
  <c r="C10" i="5"/>
  <c r="R9" i="5"/>
  <c r="P9" i="5"/>
  <c r="O9" i="5"/>
  <c r="N9" i="5"/>
  <c r="M9" i="5"/>
  <c r="L9" i="5"/>
  <c r="I9" i="5"/>
  <c r="G9" i="5"/>
  <c r="F9" i="5"/>
  <c r="E9" i="5"/>
  <c r="D9" i="5"/>
  <c r="C9" i="5"/>
  <c r="S79" i="4"/>
  <c r="R79" i="4"/>
  <c r="S78" i="4"/>
  <c r="R78" i="4"/>
  <c r="S77" i="4"/>
  <c r="Y36" i="4" s="1"/>
  <c r="R77" i="4"/>
  <c r="X36" i="4" s="1"/>
  <c r="S76" i="4"/>
  <c r="R76" i="4"/>
  <c r="S75" i="4"/>
  <c r="R75" i="4"/>
  <c r="S74" i="4"/>
  <c r="Y35" i="4" s="1"/>
  <c r="R74" i="4"/>
  <c r="X35" i="4" s="1"/>
  <c r="S73" i="4"/>
  <c r="R73" i="4"/>
  <c r="S72" i="4"/>
  <c r="R72" i="4"/>
  <c r="S71" i="4"/>
  <c r="Y34" i="4" s="1"/>
  <c r="R71" i="4"/>
  <c r="X34" i="4" s="1"/>
  <c r="S70" i="4"/>
  <c r="R70" i="4"/>
  <c r="S69" i="4"/>
  <c r="R69" i="4"/>
  <c r="S68" i="4"/>
  <c r="Y33" i="4" s="1"/>
  <c r="R68" i="4"/>
  <c r="X33" i="4" s="1"/>
  <c r="S67" i="4"/>
  <c r="R67" i="4"/>
  <c r="S66" i="4"/>
  <c r="R66" i="4"/>
  <c r="S65" i="4"/>
  <c r="Y32" i="4" s="1"/>
  <c r="R65" i="4"/>
  <c r="X32" i="4" s="1"/>
  <c r="S64" i="4"/>
  <c r="R64" i="4"/>
  <c r="S63" i="4"/>
  <c r="R63" i="4"/>
  <c r="S62" i="4"/>
  <c r="Y31" i="4" s="1"/>
  <c r="R62" i="4"/>
  <c r="X31" i="4" s="1"/>
  <c r="S61" i="4"/>
  <c r="R61" i="4"/>
  <c r="S60" i="4"/>
  <c r="R60" i="4"/>
  <c r="S59" i="4"/>
  <c r="Y30" i="4" s="1"/>
  <c r="R59" i="4"/>
  <c r="X30" i="4" s="1"/>
  <c r="S58" i="4"/>
  <c r="R58" i="4"/>
  <c r="S57" i="4"/>
  <c r="Y29" i="4" s="1"/>
  <c r="R57" i="4"/>
  <c r="S56" i="4"/>
  <c r="R56" i="4"/>
  <c r="X29" i="4" s="1"/>
  <c r="S55" i="4"/>
  <c r="R55" i="4"/>
  <c r="S54" i="4"/>
  <c r="R54" i="4"/>
  <c r="X28" i="4" s="1"/>
  <c r="S53" i="4"/>
  <c r="R53" i="4"/>
  <c r="S52" i="4"/>
  <c r="R52" i="4"/>
  <c r="X27" i="4" s="1"/>
  <c r="S51" i="4"/>
  <c r="R51" i="4"/>
  <c r="S50" i="4"/>
  <c r="R50" i="4"/>
  <c r="S49" i="4"/>
  <c r="R49" i="4"/>
  <c r="S48" i="4"/>
  <c r="R48" i="4"/>
  <c r="S47" i="4"/>
  <c r="Y26" i="4" s="1"/>
  <c r="R47" i="4"/>
  <c r="S46" i="4"/>
  <c r="R46" i="4"/>
  <c r="S45" i="4"/>
  <c r="R45" i="4"/>
  <c r="S44" i="4"/>
  <c r="R44" i="4"/>
  <c r="X25" i="4" s="1"/>
  <c r="S43" i="4"/>
  <c r="R43" i="4"/>
  <c r="S42" i="4"/>
  <c r="Y24" i="4" s="1"/>
  <c r="R42" i="4"/>
  <c r="X24" i="4" s="1"/>
  <c r="S41" i="4"/>
  <c r="R41" i="4"/>
  <c r="S40" i="4"/>
  <c r="R40" i="4"/>
  <c r="X23" i="4" s="1"/>
  <c r="S39" i="4"/>
  <c r="R39" i="4"/>
  <c r="S38" i="4"/>
  <c r="R38" i="4"/>
  <c r="S37" i="4"/>
  <c r="R37" i="4"/>
  <c r="S36" i="4"/>
  <c r="R36" i="4"/>
  <c r="S35" i="4"/>
  <c r="Y22" i="4" s="1"/>
  <c r="R35" i="4"/>
  <c r="S34" i="4"/>
  <c r="R34" i="4"/>
  <c r="S33" i="4"/>
  <c r="R33" i="4"/>
  <c r="S32" i="4"/>
  <c r="Y21" i="4" s="1"/>
  <c r="R32" i="4"/>
  <c r="X21" i="4" s="1"/>
  <c r="S31" i="4"/>
  <c r="R31" i="4"/>
  <c r="S30" i="4"/>
  <c r="R30" i="4"/>
  <c r="X20" i="4" s="1"/>
  <c r="S29" i="4"/>
  <c r="R29" i="4"/>
  <c r="S28" i="4"/>
  <c r="R28" i="4"/>
  <c r="X19" i="4" s="1"/>
  <c r="S27" i="4"/>
  <c r="R27" i="4"/>
  <c r="S26" i="4"/>
  <c r="R26" i="4"/>
  <c r="S25" i="4"/>
  <c r="R25" i="4"/>
  <c r="S24" i="4"/>
  <c r="R24" i="4"/>
  <c r="S23" i="4"/>
  <c r="Y18" i="4" s="1"/>
  <c r="R23" i="4"/>
  <c r="I23" i="4"/>
  <c r="G23" i="4"/>
  <c r="F23" i="4"/>
  <c r="E23" i="4"/>
  <c r="D23" i="4"/>
  <c r="C23" i="4"/>
  <c r="S22" i="4"/>
  <c r="R22" i="4"/>
  <c r="I22" i="4"/>
  <c r="G22" i="4"/>
  <c r="F22" i="4"/>
  <c r="E22" i="4"/>
  <c r="D22" i="4"/>
  <c r="C22" i="4"/>
  <c r="S21" i="4"/>
  <c r="R21" i="4"/>
  <c r="S20" i="4"/>
  <c r="R20" i="4"/>
  <c r="X17" i="4" s="1"/>
  <c r="S19" i="4"/>
  <c r="R19" i="4"/>
  <c r="S18" i="4"/>
  <c r="R18" i="4"/>
  <c r="X16" i="4" s="1"/>
  <c r="S17" i="4"/>
  <c r="R17" i="4"/>
  <c r="R10" i="4"/>
  <c r="P10" i="4"/>
  <c r="O10" i="4"/>
  <c r="N10" i="4"/>
  <c r="M10" i="4"/>
  <c r="L10" i="4"/>
  <c r="I10" i="4"/>
  <c r="G10" i="4"/>
  <c r="F10" i="4"/>
  <c r="E10" i="4"/>
  <c r="D10" i="4"/>
  <c r="C10" i="4"/>
  <c r="R9" i="4"/>
  <c r="P9" i="4"/>
  <c r="O9" i="4"/>
  <c r="N9" i="4"/>
  <c r="M9" i="4"/>
  <c r="L9" i="4"/>
  <c r="I9" i="4"/>
  <c r="G9" i="4"/>
  <c r="F9" i="4"/>
  <c r="E9" i="4"/>
  <c r="D9" i="4"/>
  <c r="C9" i="4"/>
  <c r="Y20" i="4" l="1"/>
  <c r="Y25" i="4"/>
  <c r="Y28" i="4"/>
  <c r="X18" i="4"/>
  <c r="X22" i="4"/>
  <c r="X26" i="4"/>
  <c r="Y16" i="4"/>
  <c r="Y17" i="4"/>
  <c r="Y19" i="4"/>
  <c r="Y23" i="4"/>
  <c r="Y27" i="4"/>
  <c r="L9" i="2"/>
  <c r="M9" i="2"/>
  <c r="N9" i="2"/>
  <c r="O9" i="2"/>
  <c r="P9" i="2"/>
  <c r="S79" i="2"/>
  <c r="R79" i="2"/>
  <c r="S78" i="2"/>
  <c r="R78" i="2"/>
  <c r="S77" i="2"/>
  <c r="R77" i="2"/>
  <c r="S76" i="2"/>
  <c r="R76" i="2"/>
  <c r="S75" i="2"/>
  <c r="R75" i="2"/>
  <c r="S74" i="2"/>
  <c r="R74" i="2"/>
  <c r="S73" i="2"/>
  <c r="R73" i="2"/>
  <c r="S72" i="2"/>
  <c r="R72" i="2"/>
  <c r="S71" i="2"/>
  <c r="R71" i="2"/>
  <c r="S70" i="2"/>
  <c r="R70" i="2"/>
  <c r="S69" i="2"/>
  <c r="R69" i="2"/>
  <c r="S68" i="2"/>
  <c r="R68" i="2"/>
  <c r="S67" i="2"/>
  <c r="R67" i="2"/>
  <c r="S66" i="2"/>
  <c r="R66" i="2"/>
  <c r="S65" i="2"/>
  <c r="R65" i="2"/>
  <c r="S64" i="2"/>
  <c r="R64" i="2"/>
  <c r="S63" i="2"/>
  <c r="R63" i="2"/>
  <c r="S62" i="2"/>
  <c r="R62" i="2"/>
  <c r="S61" i="2"/>
  <c r="R61" i="2"/>
  <c r="S60" i="2"/>
  <c r="R60" i="2"/>
  <c r="S59" i="2"/>
  <c r="R59" i="2"/>
  <c r="S58" i="2"/>
  <c r="R58" i="2"/>
  <c r="S57" i="2"/>
  <c r="R57" i="2"/>
  <c r="S56" i="2"/>
  <c r="R56" i="2"/>
  <c r="S55" i="2"/>
  <c r="R55" i="2"/>
  <c r="S54" i="2"/>
  <c r="R54" i="2"/>
  <c r="S53" i="2"/>
  <c r="R53" i="2"/>
  <c r="S52" i="2"/>
  <c r="R52" i="2"/>
  <c r="S51" i="2"/>
  <c r="R51" i="2"/>
  <c r="S50" i="2"/>
  <c r="R50" i="2"/>
  <c r="S49" i="2"/>
  <c r="R49" i="2"/>
  <c r="S48" i="2"/>
  <c r="R48" i="2"/>
  <c r="S47" i="2"/>
  <c r="R47" i="2"/>
  <c r="S46" i="2"/>
  <c r="R46" i="2"/>
  <c r="S45" i="2"/>
  <c r="R45" i="2"/>
  <c r="S44" i="2"/>
  <c r="R44" i="2"/>
  <c r="S43" i="2"/>
  <c r="R43" i="2"/>
  <c r="S42" i="2"/>
  <c r="R42" i="2"/>
  <c r="S41" i="2"/>
  <c r="R41" i="2"/>
  <c r="S40" i="2"/>
  <c r="R40" i="2"/>
  <c r="S39" i="2"/>
  <c r="R39" i="2"/>
  <c r="S38" i="2"/>
  <c r="R38" i="2"/>
  <c r="S37" i="2"/>
  <c r="R37" i="2"/>
  <c r="S36" i="2"/>
  <c r="R36" i="2"/>
  <c r="S35" i="2"/>
  <c r="R35" i="2"/>
  <c r="S34" i="2"/>
  <c r="R34" i="2"/>
  <c r="S33" i="2"/>
  <c r="R33" i="2"/>
  <c r="S32" i="2"/>
  <c r="R32" i="2"/>
  <c r="S31" i="2"/>
  <c r="R31" i="2"/>
  <c r="S30" i="2"/>
  <c r="R30" i="2"/>
  <c r="S29" i="2"/>
  <c r="R29" i="2"/>
  <c r="S28" i="2"/>
  <c r="R28" i="2"/>
  <c r="S27" i="2"/>
  <c r="R27" i="2"/>
  <c r="S26" i="2"/>
  <c r="R26" i="2"/>
  <c r="S25" i="2"/>
  <c r="R25" i="2"/>
  <c r="S24" i="2"/>
  <c r="R24" i="2"/>
  <c r="S23" i="2"/>
  <c r="R23" i="2"/>
  <c r="I23" i="2"/>
  <c r="G23" i="2"/>
  <c r="F23" i="2"/>
  <c r="E23" i="2"/>
  <c r="D23" i="2"/>
  <c r="C23" i="2"/>
  <c r="S22" i="2"/>
  <c r="R22" i="2"/>
  <c r="I22" i="2"/>
  <c r="G22" i="2"/>
  <c r="F22" i="2"/>
  <c r="E22" i="2"/>
  <c r="D22" i="2"/>
  <c r="C22" i="2"/>
  <c r="S21" i="2"/>
  <c r="R21" i="2"/>
  <c r="S20" i="2"/>
  <c r="R20" i="2"/>
  <c r="S19" i="2"/>
  <c r="R19" i="2"/>
  <c r="S18" i="2"/>
  <c r="R18" i="2"/>
  <c r="S17" i="2"/>
  <c r="R17" i="2"/>
  <c r="R10" i="2"/>
  <c r="P10" i="2"/>
  <c r="O10" i="2"/>
  <c r="N10" i="2"/>
  <c r="M10" i="2"/>
  <c r="L10" i="2"/>
  <c r="I10" i="2"/>
  <c r="G10" i="2"/>
  <c r="F10" i="2"/>
  <c r="E10" i="2"/>
  <c r="D10" i="2"/>
  <c r="C10" i="2"/>
  <c r="R9" i="2"/>
  <c r="I9" i="2"/>
  <c r="G9" i="2"/>
  <c r="F9" i="2"/>
  <c r="E9" i="2"/>
  <c r="D9" i="2"/>
  <c r="C9" i="2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16" i="1"/>
  <c r="I22" i="1"/>
  <c r="G22" i="1"/>
  <c r="F22" i="1"/>
  <c r="E22" i="1"/>
  <c r="D22" i="1"/>
  <c r="C22" i="1"/>
  <c r="I21" i="1"/>
  <c r="G21" i="1"/>
  <c r="F21" i="1"/>
  <c r="E21" i="1"/>
  <c r="D21" i="1"/>
  <c r="M10" i="1"/>
  <c r="N10" i="1"/>
  <c r="O10" i="1"/>
  <c r="P10" i="1"/>
  <c r="L10" i="1"/>
  <c r="M9" i="1"/>
  <c r="N9" i="1"/>
  <c r="O9" i="1"/>
  <c r="P9" i="1"/>
  <c r="L9" i="1"/>
  <c r="R10" i="1"/>
  <c r="R9" i="1"/>
  <c r="I9" i="1" l="1"/>
  <c r="I10" i="1"/>
  <c r="D9" i="1"/>
  <c r="E9" i="1"/>
  <c r="F9" i="1"/>
  <c r="G9" i="1"/>
  <c r="D10" i="1"/>
  <c r="E10" i="1"/>
  <c r="F10" i="1"/>
  <c r="G10" i="1"/>
  <c r="C10" i="1"/>
  <c r="C9" i="1"/>
</calcChain>
</file>

<file path=xl/sharedStrings.xml><?xml version="1.0" encoding="utf-8"?>
<sst xmlns="http://schemas.openxmlformats.org/spreadsheetml/2006/main" count="1606" uniqueCount="421">
  <si>
    <t>Ensemble 1</t>
  </si>
  <si>
    <t>Ensemble 2</t>
  </si>
  <si>
    <t>Ensemble 3</t>
  </si>
  <si>
    <t>Ensemble 4</t>
  </si>
  <si>
    <t>Ensemble 5</t>
  </si>
  <si>
    <t>AUC</t>
  </si>
  <si>
    <t>Rep 1</t>
  </si>
  <si>
    <t>Rep 2</t>
  </si>
  <si>
    <t>Rep 3</t>
  </si>
  <si>
    <t>Rep 4</t>
  </si>
  <si>
    <t>Rep 5</t>
  </si>
  <si>
    <t>Avg</t>
  </si>
  <si>
    <t>SD</t>
  </si>
  <si>
    <t>AVG</t>
  </si>
  <si>
    <t>Random</t>
  </si>
  <si>
    <t>Scaffold</t>
  </si>
  <si>
    <t>UMAP</t>
  </si>
  <si>
    <t>SPECTRA</t>
  </si>
  <si>
    <t>SP_0.00_0</t>
  </si>
  <si>
    <t>SP_0.00_1</t>
  </si>
  <si>
    <t>SP_0.00_2</t>
  </si>
  <si>
    <t>SP_0.05_0</t>
  </si>
  <si>
    <t>SP_0.05_1</t>
  </si>
  <si>
    <t>SP_0.05_2</t>
  </si>
  <si>
    <t>SP_0.10_0</t>
  </si>
  <si>
    <t>SP_0.10_1</t>
  </si>
  <si>
    <t>SP_0.10_2</t>
  </si>
  <si>
    <t>SP_0.15_0</t>
  </si>
  <si>
    <t>SP_0.15_1</t>
  </si>
  <si>
    <t>SP_0.15_2</t>
  </si>
  <si>
    <t>SP_0.20_0</t>
  </si>
  <si>
    <t>SP_0.20_1</t>
  </si>
  <si>
    <t>SP_0.20_2</t>
  </si>
  <si>
    <t>SP_0.25_0</t>
  </si>
  <si>
    <t>SP_0.25_1</t>
  </si>
  <si>
    <t>SP_0.25_2</t>
  </si>
  <si>
    <t>SP_0.30_0</t>
  </si>
  <si>
    <t>SP_0.30_1</t>
  </si>
  <si>
    <t>SP_0.30_2</t>
  </si>
  <si>
    <t>SP_0.35_0</t>
  </si>
  <si>
    <t>SP_0.35_1</t>
  </si>
  <si>
    <t>SP_0.35_2</t>
  </si>
  <si>
    <t>SP_0.40_0</t>
  </si>
  <si>
    <t>SP_0.40_1</t>
  </si>
  <si>
    <t>SP_0.40_2</t>
  </si>
  <si>
    <t>SP_0.45_0</t>
  </si>
  <si>
    <t>SP_0.45_1</t>
  </si>
  <si>
    <t>SP_0.45_2</t>
  </si>
  <si>
    <t>SP_0.50_0</t>
  </si>
  <si>
    <t>SP_0.50_1</t>
  </si>
  <si>
    <t>SP_0.50_2</t>
  </si>
  <si>
    <t>SP_0.55_0</t>
  </si>
  <si>
    <t>SP_0.55_1</t>
  </si>
  <si>
    <t>SP_0.55_2</t>
  </si>
  <si>
    <t>SP_0.60_0</t>
  </si>
  <si>
    <t>SP_0.60_1</t>
  </si>
  <si>
    <t>SP_0.60_2</t>
  </si>
  <si>
    <t>SP_0.65_0</t>
  </si>
  <si>
    <t>SP_0.65_1</t>
  </si>
  <si>
    <t>SP_0.65_2</t>
  </si>
  <si>
    <t>SP_0.70_0</t>
  </si>
  <si>
    <t>SP_0.70_1</t>
  </si>
  <si>
    <t>SP_0.70_2</t>
  </si>
  <si>
    <t>SP_0.75_0</t>
  </si>
  <si>
    <t>SP_0.75_1</t>
  </si>
  <si>
    <t>SP_0.75_2</t>
  </si>
  <si>
    <t>SP_0.80_0</t>
  </si>
  <si>
    <t>SP_0.80_1</t>
  </si>
  <si>
    <t>SP_0.80_2</t>
  </si>
  <si>
    <t>SP_0.85_0</t>
  </si>
  <si>
    <t>SP_0.85_1</t>
  </si>
  <si>
    <t>SP_0.85_2</t>
  </si>
  <si>
    <t>SP_0.90_0</t>
  </si>
  <si>
    <t>SP_0.90_1</t>
  </si>
  <si>
    <t>SP_0.90_2</t>
  </si>
  <si>
    <t>SP_0.95_0</t>
  </si>
  <si>
    <t>SP_0.95_1</t>
  </si>
  <si>
    <t>SP_0.95_2</t>
  </si>
  <si>
    <t>SP_1.00_0</t>
  </si>
  <si>
    <t>SP_1.00_1</t>
  </si>
  <si>
    <t>SP_1.00_2</t>
  </si>
  <si>
    <t> 0.9281814098358154</t>
  </si>
  <si>
    <t>cat train_clintox_spectra_tanimoto_SP</t>
  </si>
  <si>
    <t>Size</t>
  </si>
  <si>
    <t>[522, 74, 150]</t>
  </si>
  <si>
    <t> 0.9429299831390381</t>
  </si>
  <si>
    <t>[511, 73, 147]</t>
  </si>
  <si>
    <t>[290, 41, 83]</t>
  </si>
  <si>
    <t>[297, 42, 85]</t>
  </si>
  <si>
    <t> 0.6547619104385376</t>
  </si>
  <si>
    <t>[280, 39, 80]</t>
  </si>
  <si>
    <t>[188, 26, 54]</t>
  </si>
  <si>
    <t>[196, 28, 56]</t>
  </si>
  <si>
    <t>[192, 27, 55]</t>
  </si>
  <si>
    <t>[140, 20, 41]</t>
  </si>
  <si>
    <t>[133, 19, 38]</t>
  </si>
  <si>
    <t> 0.17786358296871185</t>
  </si>
  <si>
    <t>[141, 20, 41]</t>
  </si>
  <si>
    <t> 0.6326754093170166</t>
  </si>
  <si>
    <t>[97, 13, 28]</t>
  </si>
  <si>
    <t>Dropping last batch of size 1 to avoid issues with batch normalization (dataset size = 97, batch_size = 16)</t>
  </si>
  <si>
    <t>[112, 15, 32]</t>
  </si>
  <si>
    <t>[106, 15, 31]</t>
  </si>
  <si>
    <t> 0.3166666626930237</t>
  </si>
  <si>
    <t>[82, 11, 24]</t>
  </si>
  <si>
    <t>[88, 12, 25]</t>
  </si>
  <si>
    <t> 0.10869564116001129</t>
  </si>
  <si>
    <t>[84, 12, 24]</t>
  </si>
  <si>
    <t>[70, 9, 20]</t>
  </si>
  <si>
    <t>[67, 9, 19]</t>
  </si>
  <si>
    <t> 0.2631579041481018</t>
  </si>
  <si>
    <t> 0.1315789520740509</t>
  </si>
  <si>
    <t> 0.10526316612958908</t>
  </si>
  <si>
    <t>[54, 7, 16]</t>
  </si>
  <si>
    <t>[60, 8, 17]</t>
  </si>
  <si>
    <t> 0.5</t>
  </si>
  <si>
    <t> 0.3125</t>
  </si>
  <si>
    <t>[56, 7, 16]</t>
  </si>
  <si>
    <t>[48, 6, 14]</t>
  </si>
  <si>
    <t>[45, 6, 13]</t>
  </si>
  <si>
    <t> 0.8636363744735718</t>
  </si>
  <si>
    <t>[41, 5, 12]</t>
  </si>
  <si>
    <t>[42, 6, 12]</t>
  </si>
  <si>
    <t> 0.0</t>
  </si>
  <si>
    <t>[42, 5, 12]</t>
  </si>
  <si>
    <t>[35, 4, 10]</t>
  </si>
  <si>
    <t>[33, 4, 10]</t>
  </si>
  <si>
    <t>[35, 5, 10]</t>
  </si>
  <si>
    <t>[32, 4, 9]</t>
  </si>
  <si>
    <t>[28, 3, 8]</t>
  </si>
  <si>
    <t>[31, 4, 9]</t>
  </si>
  <si>
    <t>[25, 3, 7]</t>
  </si>
  <si>
    <t>[26, 3, 8]</t>
  </si>
  <si>
    <t>[21, 2, 6]</t>
  </si>
  <si>
    <t>[21, 3, 6]</t>
  </si>
  <si>
    <t>Imbalanced val and test set</t>
  </si>
  <si>
    <t>[21, 3, 7]</t>
  </si>
  <si>
    <t>[18, 2, 5]</t>
  </si>
  <si>
    <t>[19, 2, 6]</t>
  </si>
  <si>
    <t>[18, 2, 6]</t>
  </si>
  <si>
    <t>[15, 2, 5]</t>
  </si>
  <si>
    <t>[16, 2, 5]</t>
  </si>
  <si>
    <t>[14, 2, 5]</t>
  </si>
  <si>
    <t>[14, 2, 4]</t>
  </si>
  <si>
    <t>[13, 1, 4]</t>
  </si>
  <si>
    <t>Dropping last batch of size 1 to avoid issues with batch normalization (dataset size = 1, batch_size = 16)</t>
  </si>
  <si>
    <t>[50, 7, 15]</t>
  </si>
  <si>
    <t>[1008, 144, 288]</t>
  </si>
  <si>
    <t>[530, 75, 152]</t>
  </si>
  <si>
    <t>cat train_bace_spectra_tanimoto_SP_0.</t>
  </si>
  <si>
    <t>[1059, 151, 303]</t>
  </si>
  <si>
    <t> 0.8874338269233704</t>
  </si>
  <si>
    <t> 0.894444465637207</t>
  </si>
  <si>
    <t> 0.8668525815010071</t>
  </si>
  <si>
    <t> 0.8607758283615112</t>
  </si>
  <si>
    <t>[536, 76, 153]</t>
  </si>
  <si>
    <t>[532, 76, 153]</t>
  </si>
  <si>
    <t>[301, 43, 86]</t>
  </si>
  <si>
    <t> 0.8177339434623718</t>
  </si>
  <si>
    <t> 0.7782754898071289</t>
  </si>
  <si>
    <t>[307, 43, 88]</t>
  </si>
  <si>
    <t> 0.7633546590805054</t>
  </si>
  <si>
    <t>[197, 28, 57]</t>
  </si>
  <si>
    <t>[203, 28, 58]</t>
  </si>
  <si>
    <t> 0.7638326287269592</t>
  </si>
  <si>
    <t>[196, 28, 57]</t>
  </si>
  <si>
    <t> 0.7301587462425232</t>
  </si>
  <si>
    <t>[133, 18, 38]</t>
  </si>
  <si>
    <t> 0.5182072520256042</t>
  </si>
  <si>
    <t> 0.5798318982124329</t>
  </si>
  <si>
    <t> 0.5462185144424438</t>
  </si>
  <si>
    <t>[137, 19, 40]</t>
  </si>
  <si>
    <t> 0.41379308700561523</t>
  </si>
  <si>
    <t> 0.7617554664611816</t>
  </si>
  <si>
    <t> 0.756302535533905</t>
  </si>
  <si>
    <t>[85, 12, 25]</t>
  </si>
  <si>
    <t> 0.8333333134651184</t>
  </si>
  <si>
    <t> 0.7307692170143127</t>
  </si>
  <si>
    <t> 0.18571430444717407</t>
  </si>
  <si>
    <t>[91, 13, 27]</t>
  </si>
  <si>
    <t> 0.1306818127632141</t>
  </si>
  <si>
    <t>[66, 9, 19]</t>
  </si>
  <si>
    <t>[56, 8, 17]</t>
  </si>
  <si>
    <t> 0.7142857313156128</t>
  </si>
  <si>
    <t>[49, 7, 15]</t>
  </si>
  <si>
    <t> 0.2916666567325592</t>
  </si>
  <si>
    <t>[46, 6, 14]</t>
  </si>
  <si>
    <t> 0.3333333134651184</t>
  </si>
  <si>
    <t>[36, 5, 11]</t>
  </si>
  <si>
    <t> 0.5357142686843872</t>
  </si>
  <si>
    <t>[29, 4, 9]</t>
  </si>
  <si>
    <t> 0.2222222089767456</t>
  </si>
  <si>
    <t> 0.1666666716337204</t>
  </si>
  <si>
    <t> 0.6499999761581421</t>
  </si>
  <si>
    <t> 1.0</t>
  </si>
  <si>
    <t>[25, 3, 8]</t>
  </si>
  <si>
    <t> 0.8571428060531616</t>
  </si>
  <si>
    <t>[20, 2, 6]</t>
  </si>
  <si>
    <t> 0.6000000238418579</t>
  </si>
  <si>
    <t> 0.3333333432674408</t>
  </si>
  <si>
    <t>imbalanced test set</t>
  </si>
  <si>
    <t>[14, 1, 4]</t>
  </si>
  <si>
    <t>Dropping last batch of size 1 to avoid issues with batch normalization (dataset size = 1, batch_size = 32)</t>
  </si>
  <si>
    <t>[11, 1, 3]</t>
  </si>
  <si>
    <t>[12, 1, 4]</t>
  </si>
  <si>
    <t>[9, 1, 3]</t>
  </si>
  <si>
    <t>[7, 1, 2]</t>
  </si>
  <si>
    <t>[7, 0, 2]</t>
  </si>
  <si>
    <t>[6, 0, 2]</t>
  </si>
  <si>
    <t>[8, 1, 3]</t>
  </si>
  <si>
    <t>[5, 0, 2]</t>
  </si>
  <si>
    <t>[4, 0, 2]</t>
  </si>
  <si>
    <t>[525, 75, 151]</t>
  </si>
  <si>
    <t>[37, 5, 11]</t>
  </si>
  <si>
    <t>[448, 64, 129]</t>
  </si>
  <si>
    <t> [448, 64, 129]</t>
  </si>
  <si>
    <t> 2.4052364826202393</t>
  </si>
  <si>
    <t>[310, 44, 89]</t>
  </si>
  <si>
    <t>[292, 41, 84]</t>
  </si>
  <si>
    <t>[299, 42, 86]</t>
  </si>
  <si>
    <t> 2.46124267578125</t>
  </si>
  <si>
    <t>[194, 27, 56]</t>
  </si>
  <si>
    <t>[182, 26, 52]</t>
  </si>
  <si>
    <t>[190, 27, 55]</t>
  </si>
  <si>
    <t>[126, 18, 36]</t>
  </si>
  <si>
    <t>[121, 17, 35]</t>
  </si>
  <si>
    <t> 2.837697982788086</t>
  </si>
  <si>
    <t>[126, 17, 36]</t>
  </si>
  <si>
    <t>[91, 12, 26]</t>
  </si>
  <si>
    <t>[95, 13, 28]</t>
  </si>
  <si>
    <t> 3.0125319957733154</t>
  </si>
  <si>
    <t>[98, 14, 29]</t>
  </si>
  <si>
    <t> 2.8806259632110596</t>
  </si>
  <si>
    <t>[74, 10, 21]</t>
  </si>
  <si>
    <t> 5.617671966552734</t>
  </si>
  <si>
    <t>[47, 6, 14]</t>
  </si>
  <si>
    <t>[53, 7, 15]</t>
  </si>
  <si>
    <t> 4.807915210723877</t>
  </si>
  <si>
    <t> 4.82481575012207</t>
  </si>
  <si>
    <t>[34, 4, 10]</t>
  </si>
  <si>
    <t> 3.1402785778045654</t>
  </si>
  <si>
    <t> 7.452094554901123</t>
  </si>
  <si>
    <t>[24, 3, 7]</t>
  </si>
  <si>
    <t> 3.40517520904541</t>
  </si>
  <si>
    <t> 3.2358713150024414</t>
  </si>
  <si>
    <t> [21, 3, 6]</t>
  </si>
  <si>
    <t>[17, 2, 5]</t>
  </si>
  <si>
    <t> [8, 1, 3]</t>
  </si>
  <si>
    <t> [10, 1, 3]</t>
  </si>
  <si>
    <t>[11, 1, 4]</t>
  </si>
  <si>
    <t>[10, 1, 3]</t>
  </si>
  <si>
    <t>[7, 1, 3]</t>
  </si>
  <si>
    <r>
      <t xml:space="preserve">cat </t>
    </r>
    <r>
      <rPr>
        <sz val="12"/>
        <color rgb="FFFFFFFF"/>
        <rFont val="Aptos Narrow"/>
        <scheme val="minor"/>
      </rPr>
      <t>train_sider_scaffold_</t>
    </r>
  </si>
  <si>
    <t>BACE</t>
  </si>
  <si>
    <t>BBBP</t>
  </si>
  <si>
    <t>Tox21</t>
  </si>
  <si>
    <t>SIDER</t>
  </si>
  <si>
    <t>ClinTox</t>
  </si>
  <si>
    <t>ESOL</t>
  </si>
  <si>
    <t>FreeSolv</t>
  </si>
  <si>
    <t>Lipophilicity</t>
  </si>
  <si>
    <t>0.836 +/- 0.032</t>
  </si>
  <si>
    <t>0.764 +/- 0.015</t>
  </si>
  <si>
    <t>0.513 +/- 0.101</t>
  </si>
  <si>
    <t>0.827 +/- 0.019</t>
  </si>
  <si>
    <t>0.757 +/- 0.110</t>
  </si>
  <si>
    <t>0.836 +/- 0.076</t>
  </si>
  <si>
    <t>0.758 +/- 0.021</t>
  </si>
  <si>
    <t>0.744 +/- 0.063</t>
  </si>
  <si>
    <t>0.569 +/- 0.019</t>
  </si>
  <si>
    <t>0.558 +/- 0.022</t>
  </si>
  <si>
    <t>0.577 +/- 0.022</t>
  </si>
  <si>
    <t>0.854 +/- 0.076</t>
  </si>
  <si>
    <t>0.865 +/- 0.021</t>
  </si>
  <si>
    <t>0.858 +/- 0.062</t>
  </si>
  <si>
    <t>2.645 +/- 0.648</t>
  </si>
  <si>
    <t>4.003 +/- 0.205</t>
  </si>
  <si>
    <t>2.227 +/- 0.607</t>
  </si>
  <si>
    <t>0.634 +/- 0.015</t>
  </si>
  <si>
    <t>0.665 +/- 0.110</t>
  </si>
  <si>
    <t>0.920 +/- 0.020</t>
  </si>
  <si>
    <t> 0.7814</t>
  </si>
  <si>
    <t> 0.758455634</t>
  </si>
  <si>
    <t> 0.793262</t>
  </si>
  <si>
    <t> 0.760558</t>
  </si>
  <si>
    <t> 0.82849</t>
  </si>
  <si>
    <t> 0.86678</t>
  </si>
  <si>
    <t> 0.831898</t>
  </si>
  <si>
    <t> 0.824533</t>
  </si>
  <si>
    <t> 0.4081764</t>
  </si>
  <si>
    <t> 0.597453</t>
  </si>
  <si>
    <t>SP</t>
  </si>
  <si>
    <t>0.649 +/- 0.047</t>
  </si>
  <si>
    <t>0.530 +/- 0.021</t>
  </si>
  <si>
    <t>0.905 +/- 0.051</t>
  </si>
  <si>
    <t>0.829 +/- 0.145</t>
  </si>
  <si>
    <t>Mean</t>
  </si>
  <si>
    <t>cat train_bbbp_spectra_tanimoto_SP_0.00</t>
  </si>
  <si>
    <t>[1376, 196, 393]</t>
  </si>
  <si>
    <t>[656, 93, 188]</t>
  </si>
  <si>
    <t>[657, 93, 188]</t>
  </si>
  <si>
    <t>[646, 92, 185]</t>
  </si>
  <si>
    <t>[352, 50, 101]</t>
  </si>
  <si>
    <t> 0.8803802728652954</t>
  </si>
  <si>
    <t>[343, 48, 98]</t>
  </si>
  <si>
    <t> 0.8087606430053711</t>
  </si>
  <si>
    <t>[346, 49, 99]</t>
  </si>
  <si>
    <t> [219, 31, 63]</t>
  </si>
  <si>
    <t>[231, 32, 66]</t>
  </si>
  <si>
    <t> 0.7791116833686829</t>
  </si>
  <si>
    <t> [222, 31, 64]</t>
  </si>
  <si>
    <t>[156, 22, 45]</t>
  </si>
  <si>
    <t>[160, 22, 46]</t>
  </si>
  <si>
    <t>[154, 22, 44]</t>
  </si>
  <si>
    <t> 0.8463541269302368</t>
  </si>
  <si>
    <t>[116, 16, 33]</t>
  </si>
  <si>
    <t> 0.3888888955116272</t>
  </si>
  <si>
    <t>[112, 16, 32]</t>
  </si>
  <si>
    <t> 0.7454544901847839</t>
  </si>
  <si>
    <t>[84, 12, 25]</t>
  </si>
  <si>
    <t>[93, 13, 27]</t>
  </si>
  <si>
    <t>[94, 13, 27]</t>
  </si>
  <si>
    <t>[76, 10, 22]</t>
  </si>
  <si>
    <t>[73, 10, 21]</t>
  </si>
  <si>
    <t>[59, 8, 17]</t>
  </si>
  <si>
    <t>[57, 8, 17]</t>
  </si>
  <si>
    <t>[58, 8, 17]</t>
  </si>
  <si>
    <t>[49, 7, 14]</t>
  </si>
  <si>
    <t>[38, 5, 11]</t>
  </si>
  <si>
    <t>[39, 5, 11]</t>
  </si>
  <si>
    <t>[32, 4, 10]</t>
  </si>
  <si>
    <t>[774, 110, 222]</t>
  </si>
  <si>
    <t> 0.5771898627281189</t>
  </si>
  <si>
    <t> 0.5637338757514954</t>
  </si>
  <si>
    <r>
      <t xml:space="preserve">cat </t>
    </r>
    <r>
      <rPr>
        <sz val="11"/>
        <color rgb="FFFFFFFF"/>
        <rFont val="Menlo"/>
        <family val="2"/>
      </rPr>
      <t>train_delaney_spectra_tanimoto_SP_0.00</t>
    </r>
  </si>
  <si>
    <t>[449, 64, 129]</t>
  </si>
  <si>
    <t>[440, 62, 126]</t>
  </si>
  <si>
    <t>[447, 63, 128]</t>
  </si>
  <si>
    <t>[250, 35, 72]</t>
  </si>
  <si>
    <t>[264, 37, 76]</t>
  </si>
  <si>
    <t>[254, 36, 73]</t>
  </si>
  <si>
    <t>[165, 23, 48]</t>
  </si>
  <si>
    <t>[164, 23, 47]</t>
  </si>
  <si>
    <t>[173, 24, 50]</t>
  </si>
  <si>
    <t>[109, 15, 31]</t>
  </si>
  <si>
    <t>[118, 16, 34]</t>
  </si>
  <si>
    <t>[105, 15, 30]</t>
  </si>
  <si>
    <t>[83, 11, 24]</t>
  </si>
  <si>
    <t>[79, 11, 23]</t>
  </si>
  <si>
    <t>[64, 9, 19]</t>
  </si>
  <si>
    <t>[56, 8, 16]</t>
  </si>
  <si>
    <t> [52, 7, 15]</t>
  </si>
  <si>
    <t>[49, 6, 14]</t>
  </si>
  <si>
    <t>[40, 5, 12]</t>
  </si>
  <si>
    <t> [28, 4, 9]</t>
  </si>
  <si>
    <t> [24, 3, 7]</t>
  </si>
  <si>
    <t>[23, 3, 7]</t>
  </si>
  <si>
    <r>
      <t xml:space="preserve">cat </t>
    </r>
    <r>
      <rPr>
        <sz val="11"/>
        <color rgb="FFFFFFFF"/>
        <rFont val="Menlo"/>
        <family val="2"/>
      </rPr>
      <t>train_lipo_spectra_tanimoto_SP_0.00</t>
    </r>
  </si>
  <si>
    <t>[2940, 420, 840]</t>
  </si>
  <si>
    <t>[980, 140, 280]</t>
  </si>
  <si>
    <t>[994, 142, 285]</t>
  </si>
  <si>
    <t>[986, 140, 282]</t>
  </si>
  <si>
    <t>[473, 67, 136]</t>
  </si>
  <si>
    <t>[496, 70, 142]</t>
  </si>
  <si>
    <t> [486, 69, 139]</t>
  </si>
  <si>
    <t>[284, 40, 82]</t>
  </si>
  <si>
    <t>[284, 40, 81]</t>
  </si>
  <si>
    <t>[199, 28, 57]</t>
  </si>
  <si>
    <t>[189, 27, 55]</t>
  </si>
  <si>
    <t>[140, 20, 40]</t>
  </si>
  <si>
    <t>[143, 20, 41]</t>
  </si>
  <si>
    <t> [109, 15, 32]</t>
  </si>
  <si>
    <t>[110, 15, 32]</t>
  </si>
  <si>
    <t>[103, 14, 30]</t>
  </si>
  <si>
    <t>[78, 11, 23]</t>
  </si>
  <si>
    <t>[87, 12, 25]</t>
  </si>
  <si>
    <t>[61, 8, 18]</t>
  </si>
  <si>
    <t>[55, 7, 16]</t>
  </si>
  <si>
    <t>[30, 4, 9]</t>
  </si>
  <si>
    <t>[22, 3, 7]</t>
  </si>
  <si>
    <t> [14, 2, 5]</t>
  </si>
  <si>
    <r>
      <t xml:space="preserve">cat </t>
    </r>
    <r>
      <rPr>
        <sz val="11"/>
        <color rgb="FFFFFFFF"/>
        <rFont val="Menlo"/>
        <family val="2"/>
      </rPr>
      <t>train_sider_spectra_tanimoto_SP_0.00</t>
    </r>
  </si>
  <si>
    <t>[999, 142, 286]</t>
  </si>
  <si>
    <t>[529, 75, 151]</t>
  </si>
  <si>
    <t>[535, 76, 153]</t>
  </si>
  <si>
    <t>[294, 41, 84]</t>
  </si>
  <si>
    <t>[294, 42, 84]</t>
  </si>
  <si>
    <t>[305, 43, 88]</t>
  </si>
  <si>
    <t>[207, 29, 59]</t>
  </si>
  <si>
    <t>[208, 29, 60]</t>
  </si>
  <si>
    <t>[203, 29, 58]</t>
  </si>
  <si>
    <t>[154, 22, 45]</t>
  </si>
  <si>
    <t>[153, 21, 44]</t>
  </si>
  <si>
    <t> [148, 21, 43]</t>
  </si>
  <si>
    <t>[114, 16, 33]</t>
  </si>
  <si>
    <t>[98, 13, 28]</t>
  </si>
  <si>
    <t>[96, 13, 28]</t>
  </si>
  <si>
    <t>[81, 11, 24]</t>
  </si>
  <si>
    <t> [85, 12, 25]</t>
  </si>
  <si>
    <t>[67, 9, 20]</t>
  </si>
  <si>
    <t>[70, 10, 21]</t>
  </si>
  <si>
    <t> [63, 9, 19]</t>
  </si>
  <si>
    <t>[60, 8, 18]</t>
  </si>
  <si>
    <t>[44, 6, 13]</t>
  </si>
  <si>
    <t>[42, 6, 13]</t>
  </si>
  <si>
    <t>[28, 4, 8]</t>
  </si>
  <si>
    <t>[28, 4, 9]</t>
  </si>
  <si>
    <t>[27, 3, 8]</t>
  </si>
  <si>
    <t> [28, 4, 8]</t>
  </si>
  <si>
    <t>cat train_tox21_spectra_tanimoto_SP_0.00</t>
  </si>
  <si>
    <t>[5476, 782, 1565]</t>
  </si>
  <si>
    <t>[1630, 232, 466]</t>
  </si>
  <si>
    <t>[1677, 239, 479]</t>
  </si>
  <si>
    <r>
      <t xml:space="preserve">cat </t>
    </r>
    <r>
      <rPr>
        <sz val="11"/>
        <color rgb="FFFFFFFF"/>
        <rFont val="Menlo"/>
        <family val="2"/>
      </rPr>
      <t>train_new_hpopt_freesolv_random_1.log</t>
    </r>
  </si>
  <si>
    <r>
      <t xml:space="preserve">cat </t>
    </r>
    <r>
      <rPr>
        <sz val="11"/>
        <color rgb="FFFFFFFF"/>
        <rFont val="Menlo"/>
        <family val="2"/>
      </rPr>
      <t>train_new_hpopt_freesolv_scaffold_0.log</t>
    </r>
  </si>
  <si>
    <r>
      <t xml:space="preserve">cat </t>
    </r>
    <r>
      <rPr>
        <sz val="11"/>
        <color rgb="FFFFFFFF"/>
        <rFont val="Menlo"/>
        <family val="2"/>
      </rPr>
      <t>train_new_hpopt_freesolv_umap_0.log</t>
    </r>
  </si>
  <si>
    <t>7:1:2 no hpopt</t>
  </si>
  <si>
    <t>8:1:1 no hpopt</t>
  </si>
  <si>
    <t>8:1:1 hpopy</t>
  </si>
  <si>
    <t>avd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</si>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</sst>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1"/>
      <color rgb="FF000000"/>
      <name val="Menlo"/>
      <family val="2"/>
    </font>
    <font>
      <sz val="12"/>
      <color theme="1"/>
      <name val="Aptos Narrow"/>
      <scheme val="minor"/>
    </font>
    <font>
      <sz val="11"/>
      <color rgb="FF000000"/>
      <name val="Aptos Narrow"/>
      <scheme val="minor"/>
    </font>
    <font>
      <sz val="12"/>
      <color rgb="FF000000"/>
      <name val="Aptos Narrow"/>
      <scheme val="minor"/>
    </font>
    <font>
      <sz val="12"/>
      <color rgb="FFFFFFFF"/>
      <name val="Aptos Narrow"/>
      <scheme val="minor"/>
    </font>
    <font>
      <sz val="12"/>
      <color rgb="FF000000"/>
      <name val="Aptos Narrow"/>
      <family val="2"/>
      <scheme val="minor"/>
    </font>
    <font>
      <sz val="11"/>
      <color rgb="FFFFFFFF"/>
      <name val="Menlo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0" fontId="1" fillId="5" borderId="0" xfId="0" applyFont="1" applyFill="1"/>
    <xf numFmtId="0" fontId="0" fillId="5" borderId="0" xfId="0" applyFill="1"/>
    <xf numFmtId="0" fontId="3" fillId="0" borderId="0" xfId="0" applyFont="1"/>
    <xf numFmtId="0" fontId="3" fillId="5" borderId="0" xfId="0" applyFont="1" applyFill="1"/>
    <xf numFmtId="0" fontId="3" fillId="3" borderId="0" xfId="0" applyFont="1" applyFill="1"/>
    <xf numFmtId="0" fontId="3" fillId="4" borderId="0" xfId="0" applyFont="1" applyFill="1"/>
    <xf numFmtId="0" fontId="1" fillId="5" borderId="0" xfId="0" applyFont="1" applyFill="1" applyAlignment="1">
      <alignment horizontal="right"/>
    </xf>
    <xf numFmtId="0" fontId="1" fillId="0" borderId="0" xfId="0" applyFont="1"/>
    <xf numFmtId="0" fontId="4" fillId="5" borderId="0" xfId="0" applyFont="1" applyFill="1" applyAlignment="1">
      <alignment horizontal="right"/>
    </xf>
    <xf numFmtId="0" fontId="5" fillId="5" borderId="0" xfId="0" applyFont="1" applyFill="1" applyAlignment="1">
      <alignment horizontal="right"/>
    </xf>
    <xf numFmtId="0" fontId="6" fillId="5" borderId="0" xfId="0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" fillId="3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  <xf numFmtId="0" fontId="6" fillId="2" borderId="0" xfId="0" applyFont="1" applyFill="1" applyAlignment="1">
      <alignment horizontal="right"/>
    </xf>
    <xf numFmtId="0" fontId="6" fillId="3" borderId="0" xfId="0" applyFont="1" applyFill="1" applyAlignment="1">
      <alignment horizontal="right"/>
    </xf>
    <xf numFmtId="0" fontId="1" fillId="4" borderId="0" xfId="0" applyFont="1" applyFill="1" applyAlignment="1">
      <alignment horizontal="right"/>
    </xf>
    <xf numFmtId="0" fontId="4" fillId="4" borderId="0" xfId="0" applyFont="1" applyFill="1" applyAlignment="1">
      <alignment horizontal="right"/>
    </xf>
    <xf numFmtId="0" fontId="6" fillId="4" borderId="0" xfId="0" applyFont="1" applyFill="1" applyAlignment="1">
      <alignment horizontal="right"/>
    </xf>
    <xf numFmtId="0" fontId="6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5" fillId="2" borderId="0" xfId="0" applyFont="1" applyFill="1" applyAlignment="1">
      <alignment horizontal="right"/>
    </xf>
    <xf numFmtId="0" fontId="5" fillId="3" borderId="0" xfId="0" applyFont="1" applyFill="1" applyAlignment="1">
      <alignment horizontal="right"/>
    </xf>
    <xf numFmtId="0" fontId="5" fillId="4" borderId="0" xfId="0" applyFont="1" applyFill="1" applyAlignment="1">
      <alignment horizontal="right"/>
    </xf>
    <xf numFmtId="0" fontId="5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8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BACE SPECTRA</a:t>
            </a:r>
            <a:r>
              <a:rPr lang="en-US" baseline="0"/>
              <a:t> </a:t>
            </a:r>
            <a:r>
              <a:rPr lang="en-US"/>
              <a:t>AUC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bace!$X$15</c:f>
              <c:strCache>
                <c:ptCount val="1"/>
                <c:pt idx="0">
                  <c:v>AUC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bace!$Y$16:$Y$36</c:f>
                <c:numCache>
                  <c:formatCode>General</c:formatCode>
                  <c:ptCount val="21"/>
                  <c:pt idx="0">
                    <c:v>1.8626180981092807E-2</c:v>
                  </c:pt>
                  <c:pt idx="1">
                    <c:v>4.5434451773884749E-2</c:v>
                  </c:pt>
                  <c:pt idx="2">
                    <c:v>3.9711804488963456E-2</c:v>
                  </c:pt>
                  <c:pt idx="3">
                    <c:v>1.8050657442569326E-2</c:v>
                  </c:pt>
                  <c:pt idx="4">
                    <c:v>0.11818029043168438</c:v>
                  </c:pt>
                  <c:pt idx="5">
                    <c:v>0.20021043354557552</c:v>
                  </c:pt>
                  <c:pt idx="6">
                    <c:v>8.825382181012037E-2</c:v>
                  </c:pt>
                  <c:pt idx="7">
                    <c:v>2.7641462417918164E-2</c:v>
                  </c:pt>
                  <c:pt idx="8">
                    <c:v>0.10763774695314603</c:v>
                  </c:pt>
                  <c:pt idx="9">
                    <c:v>0.17388541793770929</c:v>
                  </c:pt>
                  <c:pt idx="10">
                    <c:v>3.1015040839114754E-2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</c:numCache>
              </c:numRef>
            </c:plus>
            <c:minus>
              <c:numRef>
                <c:f>bace!$Y$16:$Y$36</c:f>
                <c:numCache>
                  <c:formatCode>General</c:formatCode>
                  <c:ptCount val="21"/>
                  <c:pt idx="0">
                    <c:v>1.8626180981092807E-2</c:v>
                  </c:pt>
                  <c:pt idx="1">
                    <c:v>4.5434451773884749E-2</c:v>
                  </c:pt>
                  <c:pt idx="2">
                    <c:v>3.9711804488963456E-2</c:v>
                  </c:pt>
                  <c:pt idx="3">
                    <c:v>1.8050657442569326E-2</c:v>
                  </c:pt>
                  <c:pt idx="4">
                    <c:v>0.11818029043168438</c:v>
                  </c:pt>
                  <c:pt idx="5">
                    <c:v>0.20021043354557552</c:v>
                  </c:pt>
                  <c:pt idx="6">
                    <c:v>8.825382181012037E-2</c:v>
                  </c:pt>
                  <c:pt idx="7">
                    <c:v>2.7641462417918164E-2</c:v>
                  </c:pt>
                  <c:pt idx="8">
                    <c:v>0.10763774695314603</c:v>
                  </c:pt>
                  <c:pt idx="9">
                    <c:v>0.17388541793770929</c:v>
                  </c:pt>
                  <c:pt idx="10">
                    <c:v>3.1015040839114754E-2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bace!$W$16:$W$36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bace!$X$16:$X$36</c:f>
              <c:numCache>
                <c:formatCode>General</c:formatCode>
                <c:ptCount val="21"/>
                <c:pt idx="0">
                  <c:v>0.86746249761846306</c:v>
                </c:pt>
                <c:pt idx="1">
                  <c:v>0.79196655352910328</c:v>
                </c:pt>
                <c:pt idx="2">
                  <c:v>0.8320135821898772</c:v>
                </c:pt>
                <c:pt idx="3">
                  <c:v>0.71395074725151009</c:v>
                </c:pt>
                <c:pt idx="4">
                  <c:v>0.61931761271423691</c:v>
                </c:pt>
                <c:pt idx="5">
                  <c:v>0.26894552508989933</c:v>
                </c:pt>
                <c:pt idx="6">
                  <c:v>0.48120371003945617</c:v>
                </c:pt>
                <c:pt idx="7">
                  <c:v>0.43364196866750665</c:v>
                </c:pt>
                <c:pt idx="8">
                  <c:v>0.54761905968189217</c:v>
                </c:pt>
                <c:pt idx="9">
                  <c:v>0.69791667163372006</c:v>
                </c:pt>
                <c:pt idx="10">
                  <c:v>0.59000001351038578</c:v>
                </c:pt>
                <c:pt idx="11">
                  <c:v>0.31111112236976568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CF-7244-AA25-D019DACEC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5713072"/>
        <c:axId val="1065714784"/>
      </c:scatterChart>
      <c:valAx>
        <c:axId val="1065713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SPECTRA</a:t>
                </a:r>
                <a:r>
                  <a:rPr lang="en-US" baseline="0"/>
                  <a:t> parameters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714784"/>
        <c:crosses val="autoZero"/>
        <c:crossBetween val="midCat"/>
      </c:valAx>
      <c:valAx>
        <c:axId val="106571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AUC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71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ClinTox</a:t>
            </a:r>
            <a:r>
              <a:rPr lang="en-US" baseline="0"/>
              <a:t> SPECTRA </a:t>
            </a:r>
            <a:r>
              <a:rPr lang="en-US"/>
              <a:t>AUC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clintox!$X$14</c:f>
              <c:strCache>
                <c:ptCount val="1"/>
                <c:pt idx="0">
                  <c:v>AUC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clintox!$Y$15:$Y$35</c:f>
                <c:numCache>
                  <c:formatCode>General</c:formatCode>
                  <c:ptCount val="21"/>
                  <c:pt idx="0">
                    <c:v>3.6428926140686761E-2</c:v>
                  </c:pt>
                  <c:pt idx="1">
                    <c:v>3.2990179297835799E-2</c:v>
                  </c:pt>
                  <c:pt idx="2">
                    <c:v>9.6444855751261285E-2</c:v>
                  </c:pt>
                  <c:pt idx="3">
                    <c:v>5.6007172207716359E-2</c:v>
                  </c:pt>
                  <c:pt idx="4">
                    <c:v>0.16175140099623275</c:v>
                  </c:pt>
                  <c:pt idx="5">
                    <c:v>7.4082230009648961E-2</c:v>
                  </c:pt>
                  <c:pt idx="6">
                    <c:v>3.7372239520182413E-2</c:v>
                  </c:pt>
                  <c:pt idx="7">
                    <c:v>3.2809272290174496E-2</c:v>
                  </c:pt>
                  <c:pt idx="8">
                    <c:v>0.1337088238520906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</c:numCache>
              </c:numRef>
            </c:plus>
            <c:minus>
              <c:numRef>
                <c:f>clintox!$Y$15:$Y$35</c:f>
                <c:numCache>
                  <c:formatCode>General</c:formatCode>
                  <c:ptCount val="21"/>
                  <c:pt idx="0">
                    <c:v>3.6428926140686761E-2</c:v>
                  </c:pt>
                  <c:pt idx="1">
                    <c:v>3.2990179297835799E-2</c:v>
                  </c:pt>
                  <c:pt idx="2">
                    <c:v>9.6444855751261285E-2</c:v>
                  </c:pt>
                  <c:pt idx="3">
                    <c:v>5.6007172207716359E-2</c:v>
                  </c:pt>
                  <c:pt idx="4">
                    <c:v>0.16175140099623275</c:v>
                  </c:pt>
                  <c:pt idx="5">
                    <c:v>7.4082230009648961E-2</c:v>
                  </c:pt>
                  <c:pt idx="6">
                    <c:v>3.7372239520182413E-2</c:v>
                  </c:pt>
                  <c:pt idx="7">
                    <c:v>3.2809272290174496E-2</c:v>
                  </c:pt>
                  <c:pt idx="8">
                    <c:v>0.1337088238520906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clintox!$W$15:$W$35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clintox!$X$15:$X$35</c:f>
              <c:numCache>
                <c:formatCode>General</c:formatCode>
                <c:ptCount val="21"/>
                <c:pt idx="0">
                  <c:v>0.89765653808911594</c:v>
                </c:pt>
                <c:pt idx="1">
                  <c:v>0.89252149860064145</c:v>
                </c:pt>
                <c:pt idx="2">
                  <c:v>0.67170313000678983</c:v>
                </c:pt>
                <c:pt idx="3">
                  <c:v>0.65673633416493671</c:v>
                </c:pt>
                <c:pt idx="4">
                  <c:v>0.49782946283618568</c:v>
                </c:pt>
                <c:pt idx="5">
                  <c:v>0.55583333224058118</c:v>
                </c:pt>
                <c:pt idx="6">
                  <c:v>0.23695652087529462</c:v>
                </c:pt>
                <c:pt idx="7">
                  <c:v>0.2701754411061601</c:v>
                </c:pt>
                <c:pt idx="8">
                  <c:v>0.4087499901652335</c:v>
                </c:pt>
                <c:pt idx="9">
                  <c:v>0.31168831388155593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7C-2D4B-A677-DB406F27D0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2029232"/>
        <c:axId val="2042322224"/>
      </c:scatterChart>
      <c:valAx>
        <c:axId val="2042029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SPECTRA</a:t>
                </a:r>
                <a:r>
                  <a:rPr lang="en-US" baseline="0"/>
                  <a:t> parameters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322224"/>
        <c:crosses val="autoZero"/>
        <c:crossBetween val="midCat"/>
      </c:valAx>
      <c:valAx>
        <c:axId val="204232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AUC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029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Chemprop</a:t>
            </a:r>
            <a:r>
              <a:rPr lang="en-US" baseline="0"/>
              <a:t> FreeSolv RMSE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freesolv!$X$15</c:f>
              <c:strCache>
                <c:ptCount val="1"/>
                <c:pt idx="0">
                  <c:v>AUC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freesolv!$Y$16:$Y$36</c:f>
                <c:numCache>
                  <c:formatCode>General</c:formatCode>
                  <c:ptCount val="21"/>
                  <c:pt idx="0">
                    <c:v>0.15162130590392253</c:v>
                  </c:pt>
                  <c:pt idx="1">
                    <c:v>0.10459569735607992</c:v>
                  </c:pt>
                  <c:pt idx="2">
                    <c:v>7.5661305005731289E-2</c:v>
                  </c:pt>
                  <c:pt idx="3">
                    <c:v>3.7784060007961827E-2</c:v>
                  </c:pt>
                  <c:pt idx="4">
                    <c:v>7.0770497736918445E-2</c:v>
                  </c:pt>
                  <c:pt idx="5">
                    <c:v>6.0541662406292357E-2</c:v>
                  </c:pt>
                  <c:pt idx="6">
                    <c:v>0.2528222081280731</c:v>
                  </c:pt>
                  <c:pt idx="7">
                    <c:v>2.9668472420046738E-2</c:v>
                  </c:pt>
                  <c:pt idx="8">
                    <c:v>2.7771603993336152E-2</c:v>
                  </c:pt>
                  <c:pt idx="9">
                    <c:v>7.756309416853284E-2</c:v>
                  </c:pt>
                  <c:pt idx="10">
                    <c:v>0.12102410162483056</c:v>
                  </c:pt>
                  <c:pt idx="11">
                    <c:v>5.1012543931105964E-2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</c:numCache>
              </c:numRef>
            </c:plus>
            <c:minus>
              <c:numRef>
                <c:f>freesolv!$Y$16:$Y$36</c:f>
                <c:numCache>
                  <c:formatCode>General</c:formatCode>
                  <c:ptCount val="21"/>
                  <c:pt idx="0">
                    <c:v>0.15162130590392253</c:v>
                  </c:pt>
                  <c:pt idx="1">
                    <c:v>0.10459569735607992</c:v>
                  </c:pt>
                  <c:pt idx="2">
                    <c:v>7.5661305005731289E-2</c:v>
                  </c:pt>
                  <c:pt idx="3">
                    <c:v>3.7784060007961827E-2</c:v>
                  </c:pt>
                  <c:pt idx="4">
                    <c:v>7.0770497736918445E-2</c:v>
                  </c:pt>
                  <c:pt idx="5">
                    <c:v>6.0541662406292357E-2</c:v>
                  </c:pt>
                  <c:pt idx="6">
                    <c:v>0.2528222081280731</c:v>
                  </c:pt>
                  <c:pt idx="7">
                    <c:v>2.9668472420046738E-2</c:v>
                  </c:pt>
                  <c:pt idx="8">
                    <c:v>2.7771603993336152E-2</c:v>
                  </c:pt>
                  <c:pt idx="9">
                    <c:v>7.756309416853284E-2</c:v>
                  </c:pt>
                  <c:pt idx="10">
                    <c:v>0.12102410162483056</c:v>
                  </c:pt>
                  <c:pt idx="11">
                    <c:v>5.1012543931105964E-2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freesolv!$W$16:$W$36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freesolv!$X$16:$X$36</c:f>
              <c:numCache>
                <c:formatCode>General</c:formatCode>
                <c:ptCount val="21"/>
                <c:pt idx="0">
                  <c:v>2.4096388220786991</c:v>
                </c:pt>
                <c:pt idx="1">
                  <c:v>2.5891112208366351</c:v>
                </c:pt>
                <c:pt idx="2">
                  <c:v>3.6029559771219843</c:v>
                </c:pt>
                <c:pt idx="3">
                  <c:v>3.0475813269615131</c:v>
                </c:pt>
                <c:pt idx="4">
                  <c:v>3.9879498759905458</c:v>
                </c:pt>
                <c:pt idx="5">
                  <c:v>4.5591366926828965</c:v>
                </c:pt>
                <c:pt idx="6">
                  <c:v>4.3545751571655229</c:v>
                </c:pt>
                <c:pt idx="7">
                  <c:v>5.1175691088040622</c:v>
                </c:pt>
                <c:pt idx="8">
                  <c:v>3.2532419204711882</c:v>
                </c:pt>
                <c:pt idx="9">
                  <c:v>4.208014774322506</c:v>
                </c:pt>
                <c:pt idx="10">
                  <c:v>4.2795912742614703</c:v>
                </c:pt>
                <c:pt idx="11">
                  <c:v>3.6081207275390583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5A-4646-9FB8-E68D42E88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148864"/>
        <c:axId val="1224075504"/>
      </c:scatterChart>
      <c:valAx>
        <c:axId val="1224148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SPECTRA</a:t>
                </a:r>
                <a:r>
                  <a:rPr lang="en-US" baseline="0"/>
                  <a:t> parameters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075504"/>
        <c:crosses val="autoZero"/>
        <c:crossBetween val="midCat"/>
      </c:valAx>
      <c:valAx>
        <c:axId val="122407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RMSE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148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Chemprop Classification Task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summary!$H$2</c:f>
              <c:strCache>
                <c:ptCount val="1"/>
                <c:pt idx="0">
                  <c:v>Random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summary!$L$3:$L$7</c:f>
                <c:numCache>
                  <c:formatCode>General</c:formatCode>
                  <c:ptCount val="5"/>
                  <c:pt idx="0">
                    <c:v>3.2000000000000001E-2</c:v>
                  </c:pt>
                  <c:pt idx="1">
                    <c:v>0.02</c:v>
                  </c:pt>
                  <c:pt idx="2">
                    <c:v>7.5999999999999998E-2</c:v>
                  </c:pt>
                  <c:pt idx="3">
                    <c:v>1.9E-2</c:v>
                  </c:pt>
                  <c:pt idx="4">
                    <c:v>7.5999999999999998E-2</c:v>
                  </c:pt>
                </c:numCache>
              </c:numRef>
            </c:plus>
            <c:minus>
              <c:numRef>
                <c:f>summary!$L$3:$L$7</c:f>
                <c:numCache>
                  <c:formatCode>General</c:formatCode>
                  <c:ptCount val="5"/>
                  <c:pt idx="0">
                    <c:v>3.2000000000000001E-2</c:v>
                  </c:pt>
                  <c:pt idx="1">
                    <c:v>0.02</c:v>
                  </c:pt>
                  <c:pt idx="2">
                    <c:v>7.5999999999999998E-2</c:v>
                  </c:pt>
                  <c:pt idx="3">
                    <c:v>1.9E-2</c:v>
                  </c:pt>
                  <c:pt idx="4">
                    <c:v>7.5999999999999998E-2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summary!$G$3:$G$7</c:f>
              <c:strCache>
                <c:ptCount val="5"/>
                <c:pt idx="0">
                  <c:v>BACE</c:v>
                </c:pt>
                <c:pt idx="1">
                  <c:v>BBBP</c:v>
                </c:pt>
                <c:pt idx="2">
                  <c:v>Tox21</c:v>
                </c:pt>
                <c:pt idx="3">
                  <c:v>SIDER</c:v>
                </c:pt>
                <c:pt idx="4">
                  <c:v>ClinTox</c:v>
                </c:pt>
              </c:strCache>
            </c:strRef>
          </c:cat>
          <c:val>
            <c:numRef>
              <c:f>summary!$H$3:$H$7</c:f>
              <c:numCache>
                <c:formatCode>0.000</c:formatCode>
                <c:ptCount val="5"/>
                <c:pt idx="0">
                  <c:v>0.83599999999999997</c:v>
                </c:pt>
                <c:pt idx="1">
                  <c:v>0.92</c:v>
                </c:pt>
                <c:pt idx="2">
                  <c:v>0.83599999999999997</c:v>
                </c:pt>
                <c:pt idx="3">
                  <c:v>0.56899999999999995</c:v>
                </c:pt>
                <c:pt idx="4">
                  <c:v>0.85399999999999998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D0-6C48-925B-1D71DFB89636}"/>
            </c:ext>
          </c:extLst>
        </c:ser>
        <c:ser>
          <c:idx val="1"/>
          <c:order val="1"/>
          <c:tx>
            <c:strRef>
              <c:f>summary!$I$2</c:f>
              <c:strCache>
                <c:ptCount val="1"/>
                <c:pt idx="0">
                  <c:v>Scaffold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summary!$M$3:$M$7</c:f>
                <c:numCache>
                  <c:formatCode>General</c:formatCode>
                  <c:ptCount val="5"/>
                  <c:pt idx="0">
                    <c:v>1.4999999999999999E-2</c:v>
                  </c:pt>
                  <c:pt idx="1">
                    <c:v>1.9E-2</c:v>
                  </c:pt>
                  <c:pt idx="2">
                    <c:v>2.1000000000000001E-2</c:v>
                  </c:pt>
                  <c:pt idx="3">
                    <c:v>2.1999999999999999E-2</c:v>
                  </c:pt>
                  <c:pt idx="4">
                    <c:v>2.1000000000000001E-2</c:v>
                  </c:pt>
                </c:numCache>
              </c:numRef>
            </c:plus>
            <c:minus>
              <c:numRef>
                <c:f>summary!$M$3:$M$7</c:f>
                <c:numCache>
                  <c:formatCode>General</c:formatCode>
                  <c:ptCount val="5"/>
                  <c:pt idx="0">
                    <c:v>1.4999999999999999E-2</c:v>
                  </c:pt>
                  <c:pt idx="1">
                    <c:v>1.9E-2</c:v>
                  </c:pt>
                  <c:pt idx="2">
                    <c:v>2.1000000000000001E-2</c:v>
                  </c:pt>
                  <c:pt idx="3">
                    <c:v>2.1999999999999999E-2</c:v>
                  </c:pt>
                  <c:pt idx="4">
                    <c:v>2.1000000000000001E-2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summary!$G$3:$G$7</c:f>
              <c:strCache>
                <c:ptCount val="5"/>
                <c:pt idx="0">
                  <c:v>BACE</c:v>
                </c:pt>
                <c:pt idx="1">
                  <c:v>BBBP</c:v>
                </c:pt>
                <c:pt idx="2">
                  <c:v>Tox21</c:v>
                </c:pt>
                <c:pt idx="3">
                  <c:v>SIDER</c:v>
                </c:pt>
                <c:pt idx="4">
                  <c:v>ClinTox</c:v>
                </c:pt>
              </c:strCache>
            </c:strRef>
          </c:cat>
          <c:val>
            <c:numRef>
              <c:f>summary!$I$3:$I$7</c:f>
              <c:numCache>
                <c:formatCode>0.000</c:formatCode>
                <c:ptCount val="5"/>
                <c:pt idx="0">
                  <c:v>0.76400000000000001</c:v>
                </c:pt>
                <c:pt idx="1">
                  <c:v>0.82699999999999996</c:v>
                </c:pt>
                <c:pt idx="2">
                  <c:v>0.75800000000000001</c:v>
                </c:pt>
                <c:pt idx="3">
                  <c:v>0.55800000000000005</c:v>
                </c:pt>
                <c:pt idx="4">
                  <c:v>0.86499999999999999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D0-6C48-925B-1D71DFB89636}"/>
            </c:ext>
          </c:extLst>
        </c:ser>
        <c:ser>
          <c:idx val="2"/>
          <c:order val="2"/>
          <c:tx>
            <c:strRef>
              <c:f>summary!$J$2</c:f>
              <c:strCache>
                <c:ptCount val="1"/>
                <c:pt idx="0">
                  <c:v>UMAP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summary!$N$3:$N$7</c:f>
                <c:numCache>
                  <c:formatCode>General</c:formatCode>
                  <c:ptCount val="5"/>
                  <c:pt idx="0">
                    <c:v>0.10100000000000001</c:v>
                  </c:pt>
                  <c:pt idx="1">
                    <c:v>0.11</c:v>
                  </c:pt>
                  <c:pt idx="2">
                    <c:v>6.3E-2</c:v>
                  </c:pt>
                  <c:pt idx="3">
                    <c:v>2.1999999999999999E-2</c:v>
                  </c:pt>
                  <c:pt idx="4">
                    <c:v>6.2E-2</c:v>
                  </c:pt>
                </c:numCache>
              </c:numRef>
            </c:plus>
            <c:minus>
              <c:numRef>
                <c:f>summary!$N$3:$N$7</c:f>
                <c:numCache>
                  <c:formatCode>General</c:formatCode>
                  <c:ptCount val="5"/>
                  <c:pt idx="0">
                    <c:v>0.10100000000000001</c:v>
                  </c:pt>
                  <c:pt idx="1">
                    <c:v>0.11</c:v>
                  </c:pt>
                  <c:pt idx="2">
                    <c:v>6.3E-2</c:v>
                  </c:pt>
                  <c:pt idx="3">
                    <c:v>2.1999999999999999E-2</c:v>
                  </c:pt>
                  <c:pt idx="4">
                    <c:v>6.2E-2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summary!$G$3:$G$7</c:f>
              <c:strCache>
                <c:ptCount val="5"/>
                <c:pt idx="0">
                  <c:v>BACE</c:v>
                </c:pt>
                <c:pt idx="1">
                  <c:v>BBBP</c:v>
                </c:pt>
                <c:pt idx="2">
                  <c:v>Tox21</c:v>
                </c:pt>
                <c:pt idx="3">
                  <c:v>SIDER</c:v>
                </c:pt>
                <c:pt idx="4">
                  <c:v>ClinTox</c:v>
                </c:pt>
              </c:strCache>
            </c:strRef>
          </c:cat>
          <c:val>
            <c:numRef>
              <c:f>summary!$J$3:$J$7</c:f>
              <c:numCache>
                <c:formatCode>0.000</c:formatCode>
                <c:ptCount val="5"/>
                <c:pt idx="0">
                  <c:v>0.51300000000000001</c:v>
                </c:pt>
                <c:pt idx="1">
                  <c:v>0.75700000000000001</c:v>
                </c:pt>
                <c:pt idx="2">
                  <c:v>0.74399999999999999</c:v>
                </c:pt>
                <c:pt idx="3">
                  <c:v>0.57699999999999996</c:v>
                </c:pt>
                <c:pt idx="4">
                  <c:v>0.85799999999999998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D0-6C48-925B-1D71DFB89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2091504"/>
        <c:axId val="1037218112"/>
      </c:barChart>
      <c:catAx>
        <c:axId val="196209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218112"/>
        <c:crosses val="autoZero"/>
        <c:auto val="1"/>
        <c:lblAlgn val="ctr"/>
        <c:lblOffset val="100"/>
        <c:noMultiLvlLbl val="0"/>
      </c:catAx>
      <c:valAx>
        <c:axId val="103721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AUC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09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Chemprop</a:t>
            </a:r>
            <a:r>
              <a:rPr lang="en-US" baseline="0"/>
              <a:t> Regression Task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summary!$H$11</c:f>
              <c:strCache>
                <c:ptCount val="1"/>
                <c:pt idx="0">
                  <c:v>Random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summary!$L$12:$L$14</c:f>
                <c:numCache>
                  <c:formatCode>General</c:formatCode>
                  <c:ptCount val="3"/>
                  <c:pt idx="0">
                    <c:v>4.7E-2</c:v>
                  </c:pt>
                  <c:pt idx="1">
                    <c:v>0.64800000000000002</c:v>
                  </c:pt>
                  <c:pt idx="2">
                    <c:v>2.1000000000000001E-2</c:v>
                  </c:pt>
                </c:numCache>
              </c:numRef>
            </c:plus>
            <c:minus>
              <c:numRef>
                <c:f>summary!$L$12:$L$14</c:f>
                <c:numCache>
                  <c:formatCode>General</c:formatCode>
                  <c:ptCount val="3"/>
                  <c:pt idx="0">
                    <c:v>4.7E-2</c:v>
                  </c:pt>
                  <c:pt idx="1">
                    <c:v>0.64800000000000002</c:v>
                  </c:pt>
                  <c:pt idx="2">
                    <c:v>2.1000000000000001E-2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summary!$G$12:$G$14</c:f>
              <c:strCache>
                <c:ptCount val="3"/>
                <c:pt idx="0">
                  <c:v>ESOL</c:v>
                </c:pt>
                <c:pt idx="1">
                  <c:v>FreeSolv</c:v>
                </c:pt>
                <c:pt idx="2">
                  <c:v>Lipophilicity</c:v>
                </c:pt>
              </c:strCache>
            </c:strRef>
          </c:cat>
          <c:val>
            <c:numRef>
              <c:f>summary!$H$12:$H$14</c:f>
              <c:numCache>
                <c:formatCode>0.000</c:formatCode>
                <c:ptCount val="3"/>
                <c:pt idx="0">
                  <c:v>0.64900000000000002</c:v>
                </c:pt>
                <c:pt idx="1">
                  <c:v>2.645</c:v>
                </c:pt>
                <c:pt idx="2">
                  <c:v>0.53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99-524D-B191-84665C46F9DC}"/>
            </c:ext>
          </c:extLst>
        </c:ser>
        <c:ser>
          <c:idx val="1"/>
          <c:order val="1"/>
          <c:tx>
            <c:strRef>
              <c:f>summary!$I$11</c:f>
              <c:strCache>
                <c:ptCount val="1"/>
                <c:pt idx="0">
                  <c:v>Scaffold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summary!$M$12:$M$14</c:f>
                <c:numCache>
                  <c:formatCode>General</c:formatCode>
                  <c:ptCount val="3"/>
                  <c:pt idx="0">
                    <c:v>5.0999999999999997E-2</c:v>
                  </c:pt>
                  <c:pt idx="1">
                    <c:v>0.20499999999999999</c:v>
                  </c:pt>
                  <c:pt idx="2">
                    <c:v>1.4999999999999999E-2</c:v>
                  </c:pt>
                </c:numCache>
              </c:numRef>
            </c:plus>
            <c:minus>
              <c:numRef>
                <c:f>summary!$M$12:$M$14</c:f>
                <c:numCache>
                  <c:formatCode>General</c:formatCode>
                  <c:ptCount val="3"/>
                  <c:pt idx="0">
                    <c:v>5.0999999999999997E-2</c:v>
                  </c:pt>
                  <c:pt idx="1">
                    <c:v>0.20499999999999999</c:v>
                  </c:pt>
                  <c:pt idx="2">
                    <c:v>1.4999999999999999E-2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summary!$G$12:$G$14</c:f>
              <c:strCache>
                <c:ptCount val="3"/>
                <c:pt idx="0">
                  <c:v>ESOL</c:v>
                </c:pt>
                <c:pt idx="1">
                  <c:v>FreeSolv</c:v>
                </c:pt>
                <c:pt idx="2">
                  <c:v>Lipophilicity</c:v>
                </c:pt>
              </c:strCache>
            </c:strRef>
          </c:cat>
          <c:val>
            <c:numRef>
              <c:f>summary!$I$12:$I$14</c:f>
              <c:numCache>
                <c:formatCode>0.000</c:formatCode>
                <c:ptCount val="3"/>
                <c:pt idx="0">
                  <c:v>0.90500000000000003</c:v>
                </c:pt>
                <c:pt idx="1">
                  <c:v>4.0030000000000001</c:v>
                </c:pt>
                <c:pt idx="2">
                  <c:v>0.63400000000000001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99-524D-B191-84665C46F9DC}"/>
            </c:ext>
          </c:extLst>
        </c:ser>
        <c:ser>
          <c:idx val="2"/>
          <c:order val="2"/>
          <c:tx>
            <c:strRef>
              <c:f>summary!$J$11</c:f>
              <c:strCache>
                <c:ptCount val="1"/>
                <c:pt idx="0">
                  <c:v>UMAP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summary!$N$12:$N$14</c:f>
                <c:numCache>
                  <c:formatCode>General</c:formatCode>
                  <c:ptCount val="3"/>
                  <c:pt idx="0">
                    <c:v>0.14499999999999999</c:v>
                  </c:pt>
                  <c:pt idx="1">
                    <c:v>0.60699999999999998</c:v>
                  </c:pt>
                  <c:pt idx="2">
                    <c:v>0.11</c:v>
                  </c:pt>
                </c:numCache>
              </c:numRef>
            </c:plus>
            <c:minus>
              <c:numRef>
                <c:f>summary!$N$12:$N$14</c:f>
                <c:numCache>
                  <c:formatCode>General</c:formatCode>
                  <c:ptCount val="3"/>
                  <c:pt idx="0">
                    <c:v>0.14499999999999999</c:v>
                  </c:pt>
                  <c:pt idx="1">
                    <c:v>0.60699999999999998</c:v>
                  </c:pt>
                  <c:pt idx="2">
                    <c:v>0.11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summary!$G$12:$G$14</c:f>
              <c:strCache>
                <c:ptCount val="3"/>
                <c:pt idx="0">
                  <c:v>ESOL</c:v>
                </c:pt>
                <c:pt idx="1">
                  <c:v>FreeSolv</c:v>
                </c:pt>
                <c:pt idx="2">
                  <c:v>Lipophilicity</c:v>
                </c:pt>
              </c:strCache>
            </c:strRef>
          </c:cat>
          <c:val>
            <c:numRef>
              <c:f>summary!$J$12:$J$14</c:f>
              <c:numCache>
                <c:formatCode>0.000</c:formatCode>
                <c:ptCount val="3"/>
                <c:pt idx="0">
                  <c:v>0.82899999999999996</c:v>
                </c:pt>
                <c:pt idx="1">
                  <c:v>2.2269999999999999</c:v>
                </c:pt>
                <c:pt idx="2">
                  <c:v>0.66500000000000004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99-524D-B191-84665C46F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4008592"/>
        <c:axId val="1962311024"/>
      </c:barChart>
      <c:catAx>
        <c:axId val="122400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311024"/>
        <c:crosses val="autoZero"/>
        <c:auto val="1"/>
        <c:lblAlgn val="ctr"/>
        <c:lblOffset val="100"/>
        <c:noMultiLvlLbl val="0"/>
      </c:catAx>
      <c:valAx>
        <c:axId val="196231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RMSE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00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770609</xdr:colOff>
      <xdr:row>17</xdr:row>
      <xdr:rowOff>124417</xdr:rowOff>
    </xdr:from>
    <xdr:to>
      <xdr:col>31</xdr:col>
      <xdr:colOff>370236</xdr:colOff>
      <xdr:row>31</xdr:row>
      <xdr:rowOff>4736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8BB4BE8-B1CB-BF79-4799-D265177B68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38100</xdr:colOff>
      <xdr:row>14</xdr:row>
      <xdr:rowOff>127000</xdr:rowOff>
    </xdr:from>
    <xdr:to>
      <xdr:col>32</xdr:col>
      <xdr:colOff>482600</xdr:colOff>
      <xdr:row>28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2A5F9C-9D46-C2DD-BB5D-741E6CC3FF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338667</xdr:colOff>
      <xdr:row>16</xdr:row>
      <xdr:rowOff>25399</xdr:rowOff>
    </xdr:from>
    <xdr:to>
      <xdr:col>31</xdr:col>
      <xdr:colOff>762000</xdr:colOff>
      <xdr:row>29</xdr:row>
      <xdr:rowOff>126999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996E4B-ECD4-C6A3-B924-6FD4CB62A8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1060450</xdr:colOff>
      <xdr:row>22</xdr:row>
      <xdr:rowOff>63500</xdr:rowOff>
    </xdr:from>
    <xdr:to>
      <xdr:col>9</xdr:col>
      <xdr:colOff>527050</xdr:colOff>
      <xdr:row>35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57DF3A-F71E-8B7C-3A17-8D94F8866F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1022350</xdr:colOff>
      <xdr:row>22</xdr:row>
      <xdr:rowOff>101600</xdr:rowOff>
    </xdr:from>
    <xdr:to>
      <xdr:col>15</xdr:col>
      <xdr:colOff>336550</xdr:colOff>
      <xdr:row>36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963CFE-D651-619E-02B3-8C8CD26C32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0895B-46F1-C44D-9A8F-B2F87D23CBE1}">
  <dimension ref="B2:Y80"/>
  <sheetViews>
    <sheetView topLeftCell="J1" zoomScale="75" zoomScaleNormal="88" workbookViewId="0">
      <selection activeCell="W15" sqref="W15:Y36"/>
    </sheetView>
  </sheetViews>
  <sheetFormatPr baseColWidth="10" defaultRowHeight="16" x14ac:dyDescent="0.2"/>
  <cols>
    <col min="1" max="1" width="10.83203125" style="20"/>
    <col min="2" max="2" width="11" style="20" customWidth="1"/>
    <col min="3" max="11" width="10.83203125" style="20"/>
    <col min="12" max="12" width="17" style="20" customWidth="1"/>
    <col min="13" max="16384" width="10.83203125" style="20"/>
  </cols>
  <sheetData>
    <row r="2" spans="2:25" x14ac:dyDescent="0.2">
      <c r="B2" s="18" t="s">
        <v>14</v>
      </c>
      <c r="C2" s="19"/>
      <c r="D2" s="19"/>
      <c r="E2" s="19"/>
      <c r="F2" s="19"/>
      <c r="G2" s="19"/>
      <c r="H2" s="19"/>
      <c r="I2" s="19"/>
      <c r="K2" s="21" t="s">
        <v>15</v>
      </c>
      <c r="L2" s="22"/>
      <c r="M2" s="22"/>
      <c r="N2" s="22"/>
      <c r="O2" s="22"/>
      <c r="P2" s="22"/>
      <c r="Q2" s="22"/>
      <c r="R2" s="22"/>
    </row>
    <row r="3" spans="2:25" x14ac:dyDescent="0.2">
      <c r="B3" s="18" t="s">
        <v>5</v>
      </c>
      <c r="C3" s="18" t="s">
        <v>6</v>
      </c>
      <c r="D3" s="18" t="s">
        <v>7</v>
      </c>
      <c r="E3" s="18" t="s">
        <v>8</v>
      </c>
      <c r="F3" s="18" t="s">
        <v>9</v>
      </c>
      <c r="G3" s="18" t="s">
        <v>10</v>
      </c>
      <c r="H3" s="19"/>
      <c r="I3" s="19"/>
      <c r="K3" s="21" t="s">
        <v>5</v>
      </c>
      <c r="L3" s="21" t="s">
        <v>6</v>
      </c>
      <c r="M3" s="21" t="s">
        <v>7</v>
      </c>
      <c r="N3" s="21" t="s">
        <v>8</v>
      </c>
      <c r="O3" s="21" t="s">
        <v>9</v>
      </c>
      <c r="P3" s="21" t="s">
        <v>10</v>
      </c>
      <c r="Q3" s="22"/>
      <c r="R3" s="22"/>
    </row>
    <row r="4" spans="2:25" x14ac:dyDescent="0.2">
      <c r="B4" s="18" t="s">
        <v>0</v>
      </c>
      <c r="C4" s="23" t="s">
        <v>286</v>
      </c>
      <c r="D4" s="23">
        <v>0.78816455602645796</v>
      </c>
      <c r="E4" s="23">
        <v>0.83766746520996005</v>
      </c>
      <c r="F4" s="23">
        <v>0.85839623212814298</v>
      </c>
      <c r="G4" s="23">
        <v>0.84757161140441895</v>
      </c>
      <c r="H4" s="23"/>
      <c r="I4" s="19"/>
      <c r="K4" s="21" t="s">
        <v>0</v>
      </c>
      <c r="L4" s="24">
        <v>0.76149785518646196</v>
      </c>
      <c r="M4" s="24" t="s">
        <v>281</v>
      </c>
      <c r="N4" s="24">
        <v>0.77142983675002996</v>
      </c>
      <c r="O4" s="24">
        <v>0.75201326608657804</v>
      </c>
      <c r="P4" s="24">
        <v>0.76284003257751398</v>
      </c>
      <c r="Q4" s="22"/>
      <c r="R4" s="24"/>
    </row>
    <row r="5" spans="2:25" x14ac:dyDescent="0.2">
      <c r="B5" s="18" t="s">
        <v>1</v>
      </c>
      <c r="C5" s="23">
        <v>0.82104742527008001</v>
      </c>
      <c r="D5" s="23">
        <v>0.83225131034850997</v>
      </c>
      <c r="E5" s="23">
        <v>0.83096921443939198</v>
      </c>
      <c r="F5" s="23">
        <v>0.84299880266189497</v>
      </c>
      <c r="G5" s="23">
        <v>0.86665791273116999</v>
      </c>
      <c r="H5" s="19"/>
      <c r="I5" s="19"/>
      <c r="K5" s="21" t="s">
        <v>1</v>
      </c>
      <c r="L5" s="24">
        <v>0.76480853557586603</v>
      </c>
      <c r="M5" s="24">
        <v>0.76968502998351995</v>
      </c>
      <c r="N5" s="24">
        <v>0.78055655956268299</v>
      </c>
      <c r="O5" s="24">
        <v>0.76266103982925404</v>
      </c>
      <c r="P5" s="24">
        <v>0.72669112682342496</v>
      </c>
      <c r="Q5" s="22"/>
      <c r="R5" s="22"/>
    </row>
    <row r="6" spans="2:25" x14ac:dyDescent="0.2">
      <c r="B6" s="18" t="s">
        <v>2</v>
      </c>
      <c r="C6" s="23" t="s">
        <v>285</v>
      </c>
      <c r="D6" s="23">
        <v>0.843042612075805</v>
      </c>
      <c r="E6" s="23">
        <v>0.83648544549942005</v>
      </c>
      <c r="F6" s="23">
        <v>0.83962106704711903</v>
      </c>
      <c r="G6" s="23">
        <v>0.83870542049407903</v>
      </c>
      <c r="H6" s="19"/>
      <c r="I6" s="19"/>
      <c r="K6" s="21" t="s">
        <v>2</v>
      </c>
      <c r="L6" s="24">
        <v>0.77125096321105902</v>
      </c>
      <c r="M6" s="24">
        <v>0.74852365255355802</v>
      </c>
      <c r="N6" s="24">
        <v>0.78561204671859697</v>
      </c>
      <c r="O6" s="24">
        <v>0.75684505701064997</v>
      </c>
      <c r="P6" s="24">
        <v>0.767403364181518</v>
      </c>
      <c r="Q6" s="22"/>
      <c r="R6" s="22"/>
    </row>
    <row r="7" spans="2:25" x14ac:dyDescent="0.2">
      <c r="B7" s="18" t="s">
        <v>3</v>
      </c>
      <c r="C7" s="23">
        <v>0.86983227729797297</v>
      </c>
      <c r="D7" s="23">
        <v>0.737629413604736</v>
      </c>
      <c r="E7" s="23" t="s">
        <v>288</v>
      </c>
      <c r="F7" s="23">
        <v>0.86361640691757202</v>
      </c>
      <c r="G7" s="23">
        <v>0.858359515666961</v>
      </c>
      <c r="H7" s="19"/>
      <c r="I7" s="19"/>
      <c r="K7" s="21" t="s">
        <v>3</v>
      </c>
      <c r="L7" s="24">
        <v>0.74391543865203802</v>
      </c>
      <c r="M7" s="24">
        <v>0.77823013067245395</v>
      </c>
      <c r="N7" s="24" t="s">
        <v>284</v>
      </c>
      <c r="O7" s="24">
        <v>0.75988721847534102</v>
      </c>
      <c r="P7" s="24">
        <v>0.74530237913131703</v>
      </c>
      <c r="Q7" s="22"/>
      <c r="R7" s="22"/>
    </row>
    <row r="8" spans="2:25" x14ac:dyDescent="0.2">
      <c r="B8" s="18" t="s">
        <v>4</v>
      </c>
      <c r="C8" s="23" t="s">
        <v>287</v>
      </c>
      <c r="D8" s="23">
        <v>0.86256355047225897</v>
      </c>
      <c r="E8" s="23">
        <v>0.78631472587585405</v>
      </c>
      <c r="F8" s="23">
        <v>0.85010528564453103</v>
      </c>
      <c r="G8" s="23">
        <v>0.86202824115753096</v>
      </c>
      <c r="H8" s="19"/>
      <c r="I8" s="19"/>
      <c r="K8" s="21" t="s">
        <v>4</v>
      </c>
      <c r="L8" s="24" t="s">
        <v>282</v>
      </c>
      <c r="M8" s="24">
        <v>0.78440403938293402</v>
      </c>
      <c r="N8" s="24">
        <v>0.78579103946685702</v>
      </c>
      <c r="O8" s="24" t="s">
        <v>283</v>
      </c>
      <c r="P8" s="24">
        <v>0.76610589027404696</v>
      </c>
      <c r="Q8" s="22"/>
      <c r="R8" s="22"/>
    </row>
    <row r="9" spans="2:25" x14ac:dyDescent="0.2">
      <c r="B9" s="18" t="s">
        <v>11</v>
      </c>
      <c r="C9" s="19">
        <f>AVERAGE(C4:C8)</f>
        <v>0.84543985128402643</v>
      </c>
      <c r="D9" s="19">
        <f t="shared" ref="D9:G9" si="0">AVERAGE(D4:D8)</f>
        <v>0.81273028850555351</v>
      </c>
      <c r="E9" s="19">
        <f t="shared" si="0"/>
        <v>0.82285921275615659</v>
      </c>
      <c r="F9" s="19">
        <f t="shared" si="0"/>
        <v>0.85094755887985196</v>
      </c>
      <c r="G9" s="19">
        <f t="shared" si="0"/>
        <v>0.85466454029083194</v>
      </c>
      <c r="H9" s="18" t="s">
        <v>13</v>
      </c>
      <c r="I9" s="18">
        <f>AVERAGE(C4:G8)</f>
        <v>0.83685849961780334</v>
      </c>
      <c r="K9" s="21" t="s">
        <v>11</v>
      </c>
      <c r="L9" s="22">
        <f>AVERAGE(L4:L8)</f>
        <v>0.76036819815635626</v>
      </c>
      <c r="M9" s="22">
        <f t="shared" ref="M9:P9" si="1">AVERAGE(M4:M8)</f>
        <v>0.77021071314811651</v>
      </c>
      <c r="N9" s="22">
        <f t="shared" si="1"/>
        <v>0.78084737062454179</v>
      </c>
      <c r="O9" s="22">
        <f t="shared" si="1"/>
        <v>0.75785164535045579</v>
      </c>
      <c r="P9" s="22">
        <f t="shared" si="1"/>
        <v>0.75366855859756421</v>
      </c>
      <c r="Q9" s="21" t="s">
        <v>13</v>
      </c>
      <c r="R9" s="21">
        <f>AVERAGE(L4:P8)</f>
        <v>0.76406926200503356</v>
      </c>
    </row>
    <row r="10" spans="2:25" x14ac:dyDescent="0.2">
      <c r="B10" s="18" t="s">
        <v>12</v>
      </c>
      <c r="C10" s="19">
        <f>STDEV(C4:C8)</f>
        <v>3.4496099688105401E-2</v>
      </c>
      <c r="D10" s="19">
        <f t="shared" ref="D10:G10" si="2">STDEV(D4:D8)</f>
        <v>5.0067149597729829E-2</v>
      </c>
      <c r="E10" s="19">
        <f t="shared" si="2"/>
        <v>2.4537252006937307E-2</v>
      </c>
      <c r="F10" s="19">
        <f t="shared" si="2"/>
        <v>1.0101534668245505E-2</v>
      </c>
      <c r="G10" s="19">
        <f t="shared" si="2"/>
        <v>1.1365749654685196E-2</v>
      </c>
      <c r="H10" s="18" t="s">
        <v>12</v>
      </c>
      <c r="I10" s="18">
        <f>STDEV(C4:G8)</f>
        <v>3.1912230888908134E-2</v>
      </c>
      <c r="K10" s="21" t="s">
        <v>12</v>
      </c>
      <c r="L10" s="22">
        <f>STDEV(L4:L8)</f>
        <v>1.169217105513428E-2</v>
      </c>
      <c r="M10" s="22">
        <f t="shared" ref="M10:P10" si="3">STDEV(M4:M8)</f>
        <v>1.5667019574669174E-2</v>
      </c>
      <c r="N10" s="22">
        <f t="shared" si="3"/>
        <v>6.7309364196228676E-3</v>
      </c>
      <c r="O10" s="22">
        <f t="shared" si="3"/>
        <v>4.5597414295900918E-3</v>
      </c>
      <c r="P10" s="22">
        <f t="shared" si="3"/>
        <v>1.750159151773446E-2</v>
      </c>
      <c r="Q10" s="21" t="s">
        <v>12</v>
      </c>
      <c r="R10" s="21">
        <f>STDEV(L4:P8)</f>
        <v>1.5161116788195119E-2</v>
      </c>
    </row>
    <row r="11" spans="2:25" x14ac:dyDescent="0.2">
      <c r="B11" s="19"/>
      <c r="C11" s="19"/>
      <c r="D11" s="19"/>
      <c r="E11" s="19"/>
      <c r="F11" s="19"/>
      <c r="G11" s="19"/>
      <c r="H11" s="19"/>
      <c r="I11" s="19"/>
      <c r="K11" s="22"/>
      <c r="L11" s="22"/>
      <c r="M11" s="22"/>
      <c r="N11" s="22"/>
      <c r="O11" s="22"/>
      <c r="P11" s="22"/>
      <c r="Q11" s="22"/>
      <c r="R11" s="22"/>
    </row>
    <row r="15" spans="2:25" x14ac:dyDescent="0.2">
      <c r="B15" s="25" t="s">
        <v>16</v>
      </c>
      <c r="C15" s="26"/>
      <c r="D15" s="26"/>
      <c r="E15" s="26"/>
      <c r="F15" s="26"/>
      <c r="G15" s="26"/>
      <c r="H15" s="26"/>
      <c r="I15" s="26"/>
      <c r="K15" s="13" t="s">
        <v>17</v>
      </c>
      <c r="L15" s="13"/>
      <c r="M15" s="15"/>
      <c r="N15" s="15"/>
      <c r="O15" s="15"/>
      <c r="P15" s="15"/>
      <c r="Q15" s="15"/>
      <c r="R15" s="15"/>
      <c r="S15" s="15"/>
      <c r="T15" s="15"/>
      <c r="U15" s="15"/>
      <c r="W15" s="20" t="s">
        <v>291</v>
      </c>
      <c r="X15" s="20" t="s">
        <v>5</v>
      </c>
      <c r="Y15" s="20" t="s">
        <v>12</v>
      </c>
    </row>
    <row r="16" spans="2:25" x14ac:dyDescent="0.2">
      <c r="B16" s="25" t="s">
        <v>5</v>
      </c>
      <c r="C16" s="25" t="s">
        <v>6</v>
      </c>
      <c r="D16" s="25" t="s">
        <v>7</v>
      </c>
      <c r="E16" s="25" t="s">
        <v>8</v>
      </c>
      <c r="F16" s="25" t="s">
        <v>9</v>
      </c>
      <c r="G16" s="25" t="s">
        <v>10</v>
      </c>
      <c r="H16" s="26"/>
      <c r="I16" s="26"/>
      <c r="K16" s="13" t="s">
        <v>5</v>
      </c>
      <c r="L16" s="13" t="s">
        <v>83</v>
      </c>
      <c r="M16" s="13" t="s">
        <v>0</v>
      </c>
      <c r="N16" s="13" t="s">
        <v>1</v>
      </c>
      <c r="O16" s="13" t="s">
        <v>2</v>
      </c>
      <c r="P16" s="13" t="s">
        <v>3</v>
      </c>
      <c r="Q16" s="13" t="s">
        <v>4</v>
      </c>
      <c r="R16" s="13" t="s">
        <v>11</v>
      </c>
      <c r="S16" s="13" t="s">
        <v>12</v>
      </c>
      <c r="T16" s="15"/>
      <c r="U16" s="15"/>
      <c r="W16" s="20">
        <v>0</v>
      </c>
      <c r="X16" s="20">
        <f>AVERAGE(R17:R19)</f>
        <v>0.86746249761846306</v>
      </c>
      <c r="Y16" s="20">
        <f>AVERAGE(S17:S19)</f>
        <v>1.8626180981092807E-2</v>
      </c>
    </row>
    <row r="17" spans="2:25" x14ac:dyDescent="0.2">
      <c r="B17" s="25" t="s">
        <v>0</v>
      </c>
      <c r="C17" s="27">
        <v>0.73954242467880205</v>
      </c>
      <c r="D17" s="27">
        <v>0.50068354606628396</v>
      </c>
      <c r="E17" s="27">
        <v>0.41217753291129999</v>
      </c>
      <c r="F17" s="27">
        <v>0.42581924796104398</v>
      </c>
      <c r="G17" s="27">
        <v>0.466545820236206</v>
      </c>
      <c r="H17" s="26"/>
      <c r="I17" s="27"/>
      <c r="K17" s="13" t="s">
        <v>18</v>
      </c>
      <c r="L17" s="17" t="s">
        <v>150</v>
      </c>
      <c r="M17" s="17" t="s">
        <v>151</v>
      </c>
      <c r="N17" s="17">
        <v>0.86419755220413197</v>
      </c>
      <c r="O17" s="17">
        <v>0.89911818504333496</v>
      </c>
      <c r="P17" s="17">
        <v>0.89237219095230103</v>
      </c>
      <c r="Q17" s="17" t="s">
        <v>152</v>
      </c>
      <c r="R17" s="15">
        <f>AVERAGE(M17:Q17)</f>
        <v>0.88522930939992273</v>
      </c>
      <c r="S17" s="15">
        <f>STDEV(M17:Q17)</f>
        <v>1.852372039105768E-2</v>
      </c>
      <c r="T17" s="15"/>
      <c r="U17" s="17"/>
      <c r="W17" s="20">
        <v>0.05</v>
      </c>
      <c r="X17" s="20">
        <f>AVERAGE(R20:R22)</f>
        <v>0.79196655352910328</v>
      </c>
      <c r="Y17" s="20">
        <f>AVERAGE(S20:S22)</f>
        <v>4.5434451773884749E-2</v>
      </c>
    </row>
    <row r="18" spans="2:25" x14ac:dyDescent="0.2">
      <c r="B18" s="25" t="s">
        <v>1</v>
      </c>
      <c r="C18" s="27">
        <v>0.66236251592636097</v>
      </c>
      <c r="D18" s="27" t="s">
        <v>290</v>
      </c>
      <c r="E18" s="27">
        <v>0.43090873956680298</v>
      </c>
      <c r="F18" s="27" t="s">
        <v>289</v>
      </c>
      <c r="G18" s="27">
        <v>0.60660016536712602</v>
      </c>
      <c r="H18" s="26"/>
      <c r="I18" s="26"/>
      <c r="K18" s="13" t="s">
        <v>19</v>
      </c>
      <c r="L18" s="17" t="s">
        <v>150</v>
      </c>
      <c r="M18" s="17">
        <v>0.90401709079742398</v>
      </c>
      <c r="N18" s="17" t="s">
        <v>153</v>
      </c>
      <c r="O18" s="17">
        <v>0.84262806177139205</v>
      </c>
      <c r="P18" s="17">
        <v>0.88358306884765603</v>
      </c>
      <c r="Q18" s="17">
        <v>0.87682986259460405</v>
      </c>
      <c r="R18" s="15">
        <f t="shared" ref="R18:R79" si="4">AVERAGE(M18:Q18)</f>
        <v>0.87676452100276903</v>
      </c>
      <c r="S18" s="15">
        <f t="shared" ref="S18:S79" si="5">STDEV(M18:Q18)</f>
        <v>2.5524480233066707E-2</v>
      </c>
      <c r="T18" s="15"/>
      <c r="U18" s="15"/>
      <c r="W18" s="20">
        <v>0.1</v>
      </c>
      <c r="X18" s="20">
        <f>AVERAGE(R23:R25)</f>
        <v>0.8320135821898772</v>
      </c>
      <c r="Y18" s="20">
        <f>AVERAGE(S23:S25)</f>
        <v>3.9711804488963456E-2</v>
      </c>
    </row>
    <row r="19" spans="2:25" x14ac:dyDescent="0.2">
      <c r="B19" s="25" t="s">
        <v>2</v>
      </c>
      <c r="C19" s="27">
        <v>0.59686762094497603</v>
      </c>
      <c r="D19" s="27">
        <v>0.52943688631057695</v>
      </c>
      <c r="E19" s="27">
        <v>0.49289035797119102</v>
      </c>
      <c r="F19" s="27">
        <v>0.40801426768302901</v>
      </c>
      <c r="G19" s="27">
        <v>0.56850558519363403</v>
      </c>
      <c r="H19" s="26"/>
      <c r="I19" s="26"/>
      <c r="K19" s="13" t="s">
        <v>20</v>
      </c>
      <c r="L19" s="17" t="s">
        <v>150</v>
      </c>
      <c r="M19" s="17">
        <v>0.82677972316741899</v>
      </c>
      <c r="N19" s="17">
        <v>0.83800816535949696</v>
      </c>
      <c r="O19" s="17">
        <v>0.85549443960189797</v>
      </c>
      <c r="P19" s="17">
        <v>0.84129232168197599</v>
      </c>
      <c r="Q19" s="17" t="s">
        <v>154</v>
      </c>
      <c r="R19" s="15">
        <f t="shared" si="4"/>
        <v>0.84039366245269742</v>
      </c>
      <c r="S19" s="15">
        <f t="shared" si="5"/>
        <v>1.183034231915403E-2</v>
      </c>
      <c r="T19" s="15"/>
      <c r="U19" s="15"/>
      <c r="W19" s="20">
        <v>0.15</v>
      </c>
      <c r="X19" s="20">
        <f>AVERAGE(R26:R28)</f>
        <v>0.71395074725151009</v>
      </c>
      <c r="Y19" s="20">
        <f>AVERAGE(S26:S28)</f>
        <v>1.8050657442569326E-2</v>
      </c>
    </row>
    <row r="20" spans="2:25" x14ac:dyDescent="0.2">
      <c r="B20" s="25" t="s">
        <v>3</v>
      </c>
      <c r="C20" s="27">
        <v>0.57644343376159601</v>
      </c>
      <c r="D20" s="27">
        <v>0.42818081378936701</v>
      </c>
      <c r="E20" s="27">
        <v>0.494348734617233</v>
      </c>
      <c r="F20" s="27">
        <v>0.38672128319740201</v>
      </c>
      <c r="G20" s="27">
        <v>0.51396441459655695</v>
      </c>
      <c r="H20" s="26"/>
      <c r="I20" s="26"/>
      <c r="K20" s="13" t="s">
        <v>21</v>
      </c>
      <c r="L20" s="17" t="s">
        <v>212</v>
      </c>
      <c r="M20" s="17">
        <v>0.69508194923400801</v>
      </c>
      <c r="N20" s="17">
        <v>0.79763203859329201</v>
      </c>
      <c r="O20" s="17">
        <v>0.800728619098663</v>
      </c>
      <c r="P20" s="17">
        <v>0.83788704872131303</v>
      </c>
      <c r="Q20" s="17">
        <v>0.71839708089828402</v>
      </c>
      <c r="R20" s="15">
        <f t="shared" si="4"/>
        <v>0.76994534730911202</v>
      </c>
      <c r="S20" s="15">
        <f t="shared" si="5"/>
        <v>6.0398654017355211E-2</v>
      </c>
      <c r="T20" s="15"/>
      <c r="U20" s="15"/>
      <c r="W20" s="20">
        <v>0.2</v>
      </c>
      <c r="X20" s="20">
        <f>AVERAGE(R29:R31)</f>
        <v>0.61931761271423691</v>
      </c>
      <c r="Y20" s="20">
        <f>AVERAGE(S29:S31)</f>
        <v>0.11818029043168438</v>
      </c>
    </row>
    <row r="21" spans="2:25" x14ac:dyDescent="0.2">
      <c r="B21" s="25" t="s">
        <v>4</v>
      </c>
      <c r="C21" s="27">
        <v>0.66103684902191095</v>
      </c>
      <c r="D21" s="27">
        <v>0.476117223501205</v>
      </c>
      <c r="E21" s="27">
        <v>0.39071190357208202</v>
      </c>
      <c r="F21" s="27">
        <v>0.398320913314819</v>
      </c>
      <c r="G21" s="27">
        <v>0.633622527122497</v>
      </c>
      <c r="H21" s="26"/>
      <c r="I21" s="26"/>
      <c r="K21" s="13" t="s">
        <v>22</v>
      </c>
      <c r="L21" s="17" t="s">
        <v>155</v>
      </c>
      <c r="M21" s="17">
        <v>0.86653667688369695</v>
      </c>
      <c r="N21" s="17">
        <v>0.88496983051300004</v>
      </c>
      <c r="O21" s="17">
        <v>0.84987592697143499</v>
      </c>
      <c r="P21" s="17">
        <v>0.76462250947952204</v>
      </c>
      <c r="Q21" s="17">
        <v>0.85200285911560003</v>
      </c>
      <c r="R21" s="15">
        <f t="shared" si="4"/>
        <v>0.84360156059265079</v>
      </c>
      <c r="S21" s="15">
        <f t="shared" si="5"/>
        <v>4.6327619517259395E-2</v>
      </c>
      <c r="T21" s="15"/>
      <c r="U21" s="15"/>
      <c r="W21" s="20">
        <v>0.25</v>
      </c>
      <c r="X21" s="20">
        <f>AVERAGE(R32:R34)</f>
        <v>0.26894552508989933</v>
      </c>
      <c r="Y21" s="20">
        <f>AVERAGE(S32:S34)</f>
        <v>0.20021043354557552</v>
      </c>
    </row>
    <row r="22" spans="2:25" x14ac:dyDescent="0.2">
      <c r="B22" s="25" t="s">
        <v>11</v>
      </c>
      <c r="C22" s="26">
        <f>AVERAGE(C17:C21)</f>
        <v>0.64725056886672916</v>
      </c>
      <c r="D22" s="26">
        <f t="shared" ref="D22:G22" si="6">AVERAGE(D17:D21)</f>
        <v>0.48360461741685823</v>
      </c>
      <c r="E22" s="26">
        <f t="shared" si="6"/>
        <v>0.4442074537277218</v>
      </c>
      <c r="F22" s="26">
        <f t="shared" si="6"/>
        <v>0.4047189280390735</v>
      </c>
      <c r="G22" s="26">
        <f t="shared" si="6"/>
        <v>0.55784770250320403</v>
      </c>
      <c r="H22" s="25" t="s">
        <v>13</v>
      </c>
      <c r="I22" s="25">
        <f>AVERAGE(C17:G21)</f>
        <v>0.5130357742309567</v>
      </c>
      <c r="K22" s="13" t="s">
        <v>23</v>
      </c>
      <c r="L22" s="17" t="s">
        <v>156</v>
      </c>
      <c r="M22" s="17">
        <v>0.78037559986114502</v>
      </c>
      <c r="N22" s="17">
        <v>0.77862668037414495</v>
      </c>
      <c r="O22" s="17">
        <v>0.78387331962585405</v>
      </c>
      <c r="P22" s="17">
        <v>0.75552284717559803</v>
      </c>
      <c r="Q22" s="17">
        <v>0.71336531639099099</v>
      </c>
      <c r="R22" s="15">
        <f t="shared" si="4"/>
        <v>0.7623527526855467</v>
      </c>
      <c r="S22" s="15">
        <f t="shared" si="5"/>
        <v>2.957708178703964E-2</v>
      </c>
      <c r="T22" s="15"/>
      <c r="U22" s="15"/>
      <c r="W22" s="20">
        <v>0.3</v>
      </c>
      <c r="X22" s="20">
        <f>AVERAGE(R35:R37)</f>
        <v>0.48120371003945617</v>
      </c>
      <c r="Y22" s="20">
        <f>AVERAGE(S35:S37)</f>
        <v>8.825382181012037E-2</v>
      </c>
    </row>
    <row r="23" spans="2:25" x14ac:dyDescent="0.2">
      <c r="B23" s="25" t="s">
        <v>12</v>
      </c>
      <c r="C23" s="26">
        <f>STDEV(C17:C21)</f>
        <v>6.4203409054288924E-2</v>
      </c>
      <c r="D23" s="26">
        <f t="shared" ref="D23:G23" si="7">STDEV(D17:D21)</f>
        <v>4.2895787485273278E-2</v>
      </c>
      <c r="E23" s="26">
        <f t="shared" si="7"/>
        <v>4.7298833831063689E-2</v>
      </c>
      <c r="F23" s="26">
        <f t="shared" si="7"/>
        <v>1.654219429657838E-2</v>
      </c>
      <c r="G23" s="26">
        <f t="shared" si="7"/>
        <v>6.799631204672002E-2</v>
      </c>
      <c r="H23" s="25" t="s">
        <v>12</v>
      </c>
      <c r="I23" s="25">
        <f>STDEV(C17:G21)</f>
        <v>0.10100907228179835</v>
      </c>
      <c r="K23" s="13" t="s">
        <v>24</v>
      </c>
      <c r="L23" s="17" t="s">
        <v>157</v>
      </c>
      <c r="M23" s="17" t="s">
        <v>158</v>
      </c>
      <c r="N23" s="17">
        <v>0.84174883365631104</v>
      </c>
      <c r="O23" s="17">
        <v>0.83066493272781305</v>
      </c>
      <c r="P23" s="17">
        <v>0.83128082752227705</v>
      </c>
      <c r="Q23" s="17">
        <v>0.79864531755447299</v>
      </c>
      <c r="R23" s="15">
        <f t="shared" si="4"/>
        <v>0.82558497786521856</v>
      </c>
      <c r="S23" s="15">
        <f t="shared" si="5"/>
        <v>1.8666049183972175E-2</v>
      </c>
      <c r="T23" s="15"/>
      <c r="U23" s="15"/>
      <c r="W23" s="20">
        <v>0.35</v>
      </c>
      <c r="X23" s="20">
        <f>AVERAGE(R38:R40)</f>
        <v>0.43364196866750665</v>
      </c>
      <c r="Y23" s="20">
        <f>AVERAGE(S38:S40)</f>
        <v>2.7641462417918164E-2</v>
      </c>
    </row>
    <row r="24" spans="2:25" x14ac:dyDescent="0.2">
      <c r="B24" s="26"/>
      <c r="C24" s="26"/>
      <c r="D24" s="26"/>
      <c r="E24" s="26"/>
      <c r="F24" s="26"/>
      <c r="G24" s="26"/>
      <c r="H24" s="26"/>
      <c r="I24" s="26"/>
      <c r="K24" s="13" t="s">
        <v>25</v>
      </c>
      <c r="L24" s="17" t="s">
        <v>88</v>
      </c>
      <c r="M24" s="17">
        <v>0.845464646816253</v>
      </c>
      <c r="N24" s="17">
        <v>0.80067193508148105</v>
      </c>
      <c r="O24" s="17" t="s">
        <v>159</v>
      </c>
      <c r="P24" s="17">
        <v>0.80515122413635198</v>
      </c>
      <c r="Q24" s="17">
        <v>0.89025753736495905</v>
      </c>
      <c r="R24" s="15">
        <f t="shared" si="4"/>
        <v>0.8353863358497613</v>
      </c>
      <c r="S24" s="15">
        <f t="shared" si="5"/>
        <v>4.1759919814266341E-2</v>
      </c>
      <c r="T24" s="15"/>
      <c r="U24" s="15"/>
      <c r="W24" s="20">
        <v>0.4</v>
      </c>
      <c r="X24" s="20">
        <f>AVERAGE(R42:R43)</f>
        <v>0.54761905968189217</v>
      </c>
      <c r="Y24" s="20">
        <f>AVERAGE(S42:S43)</f>
        <v>0.10763774695314603</v>
      </c>
    </row>
    <row r="25" spans="2:25" x14ac:dyDescent="0.2">
      <c r="B25" s="29"/>
      <c r="K25" s="13" t="s">
        <v>26</v>
      </c>
      <c r="L25" s="17" t="s">
        <v>160</v>
      </c>
      <c r="M25" s="17">
        <v>0.84348285198211603</v>
      </c>
      <c r="N25" s="17">
        <v>0.75106841325759799</v>
      </c>
      <c r="O25" s="17" t="s">
        <v>161</v>
      </c>
      <c r="P25" s="17">
        <v>0.88621795177459695</v>
      </c>
      <c r="Q25" s="17">
        <v>0.85950851440429599</v>
      </c>
      <c r="R25" s="15">
        <f t="shared" si="4"/>
        <v>0.83506943285465174</v>
      </c>
      <c r="S25" s="15">
        <f t="shared" si="5"/>
        <v>5.8709444468651853E-2</v>
      </c>
      <c r="T25" s="15"/>
      <c r="U25" s="15"/>
      <c r="W25" s="20">
        <v>0.45</v>
      </c>
      <c r="X25" s="20">
        <f>AVERAGE(R44:R46)</f>
        <v>0.69791667163372006</v>
      </c>
      <c r="Y25" s="20">
        <f>AVERAGE(S44:S46)</f>
        <v>0.17388541793770929</v>
      </c>
    </row>
    <row r="26" spans="2:25" x14ac:dyDescent="0.2">
      <c r="B26" s="29"/>
      <c r="C26" s="29"/>
      <c r="D26" s="29"/>
      <c r="E26" s="29"/>
      <c r="F26" s="29"/>
      <c r="G26" s="29"/>
      <c r="K26" s="13" t="s">
        <v>27</v>
      </c>
      <c r="L26" s="17" t="s">
        <v>162</v>
      </c>
      <c r="M26" s="17">
        <v>0.62698411941528298</v>
      </c>
      <c r="N26" s="17">
        <v>0.70238095521926802</v>
      </c>
      <c r="O26" s="17">
        <v>0.62037038803100497</v>
      </c>
      <c r="P26" s="17">
        <v>0.63756614923477095</v>
      </c>
      <c r="Q26" s="17">
        <v>0.658730149269104</v>
      </c>
      <c r="R26" s="15">
        <f t="shared" si="4"/>
        <v>0.64920635223388623</v>
      </c>
      <c r="S26" s="15">
        <f t="shared" si="5"/>
        <v>3.3087293261294684E-2</v>
      </c>
      <c r="T26" s="15"/>
      <c r="U26" s="15"/>
      <c r="W26" s="20">
        <v>0.5</v>
      </c>
      <c r="X26" s="20">
        <f>AVERAGE(R47:R49)</f>
        <v>0.59000001351038578</v>
      </c>
      <c r="Y26" s="20">
        <f>AVERAGE(S47:S49)</f>
        <v>3.1015040839114754E-2</v>
      </c>
    </row>
    <row r="27" spans="2:25" x14ac:dyDescent="0.2">
      <c r="B27" s="29"/>
      <c r="K27" s="13" t="s">
        <v>28</v>
      </c>
      <c r="L27" s="17" t="s">
        <v>163</v>
      </c>
      <c r="M27" s="17">
        <v>0.77732795476913397</v>
      </c>
      <c r="N27" s="17">
        <v>0.78407549858093195</v>
      </c>
      <c r="O27" s="17">
        <v>0.77597844600677401</v>
      </c>
      <c r="P27" s="17">
        <v>0.78002703189849798</v>
      </c>
      <c r="Q27" s="17" t="s">
        <v>164</v>
      </c>
      <c r="R27" s="15">
        <f t="shared" si="4"/>
        <v>0.77935223281383448</v>
      </c>
      <c r="S27" s="15">
        <f t="shared" si="5"/>
        <v>3.5704683321682671E-3</v>
      </c>
      <c r="T27" s="15"/>
      <c r="U27" s="15"/>
      <c r="W27" s="20">
        <v>0.55000000000000004</v>
      </c>
      <c r="X27" s="20">
        <f>AVERAGE(R50:R52)</f>
        <v>0.31111112236976568</v>
      </c>
      <c r="Y27" s="20">
        <f>AVERAGE(S50:S52)</f>
        <v>0</v>
      </c>
    </row>
    <row r="28" spans="2:25" x14ac:dyDescent="0.2">
      <c r="B28" s="29"/>
      <c r="K28" s="13" t="s">
        <v>29</v>
      </c>
      <c r="L28" s="17" t="s">
        <v>165</v>
      </c>
      <c r="M28" s="17">
        <v>0.69444441795349099</v>
      </c>
      <c r="N28" s="17">
        <v>0.72751325368881203</v>
      </c>
      <c r="O28" s="17">
        <v>0.72883599996566695</v>
      </c>
      <c r="P28" s="17">
        <v>0.70238095521926802</v>
      </c>
      <c r="Q28" s="17" t="s">
        <v>166</v>
      </c>
      <c r="R28" s="15">
        <f t="shared" si="4"/>
        <v>0.71329365670680944</v>
      </c>
      <c r="S28" s="15">
        <f t="shared" si="5"/>
        <v>1.7494210734245026E-2</v>
      </c>
      <c r="T28" s="15"/>
      <c r="U28" s="15"/>
      <c r="W28" s="20">
        <v>0.6</v>
      </c>
      <c r="X28" s="20" t="e">
        <f>AVERAGE(R53:R55)</f>
        <v>#DIV/0!</v>
      </c>
      <c r="Y28" s="20" t="e">
        <f>AVERAGE(S53:S55)</f>
        <v>#DIV/0!</v>
      </c>
    </row>
    <row r="29" spans="2:25" x14ac:dyDescent="0.2">
      <c r="B29" s="29"/>
      <c r="K29" s="13" t="s">
        <v>30</v>
      </c>
      <c r="L29" s="17" t="s">
        <v>167</v>
      </c>
      <c r="M29" s="17" t="s">
        <v>168</v>
      </c>
      <c r="N29" s="17">
        <v>0.60504198074340798</v>
      </c>
      <c r="O29" s="17">
        <v>0.37815123796463002</v>
      </c>
      <c r="P29" s="17" t="s">
        <v>169</v>
      </c>
      <c r="Q29" s="17" t="s">
        <v>170</v>
      </c>
      <c r="R29" s="15">
        <f t="shared" si="4"/>
        <v>0.491596609354019</v>
      </c>
      <c r="S29" s="15">
        <f t="shared" si="5"/>
        <v>0.16043598280732665</v>
      </c>
      <c r="T29" s="15"/>
      <c r="U29" s="15"/>
      <c r="W29" s="20">
        <v>0.65</v>
      </c>
      <c r="X29" s="20" t="e">
        <f>AVERAGE(R56:R58)</f>
        <v>#DIV/0!</v>
      </c>
      <c r="Y29" s="20" t="e">
        <f>AVERAGE(S56:S58)</f>
        <v>#DIV/0!</v>
      </c>
    </row>
    <row r="30" spans="2:25" x14ac:dyDescent="0.2">
      <c r="B30" s="29"/>
      <c r="K30" s="13" t="s">
        <v>31</v>
      </c>
      <c r="L30" s="17" t="s">
        <v>171</v>
      </c>
      <c r="M30" s="17">
        <v>0.76802504062652499</v>
      </c>
      <c r="N30" s="17" t="s">
        <v>172</v>
      </c>
      <c r="O30" s="17">
        <v>0.56112855672836304</v>
      </c>
      <c r="P30" s="17" t="s">
        <v>173</v>
      </c>
      <c r="Q30" s="17">
        <v>0.60815042257308904</v>
      </c>
      <c r="R30" s="15">
        <f t="shared" si="4"/>
        <v>0.6457680066426591</v>
      </c>
      <c r="S30" s="15">
        <f t="shared" si="5"/>
        <v>0.10845667676901678</v>
      </c>
      <c r="T30" s="15"/>
      <c r="U30" s="15"/>
      <c r="W30" s="20">
        <v>0.7</v>
      </c>
      <c r="X30" s="20" t="e">
        <f>AVERAGE(R59:R61)</f>
        <v>#DIV/0!</v>
      </c>
      <c r="Y30" s="20" t="e">
        <f>AVERAGE(S59:S61)</f>
        <v>#DIV/0!</v>
      </c>
    </row>
    <row r="31" spans="2:25" x14ac:dyDescent="0.2">
      <c r="B31" s="29"/>
      <c r="K31" s="13" t="s">
        <v>32</v>
      </c>
      <c r="L31" s="17" t="s">
        <v>95</v>
      </c>
      <c r="M31" s="17">
        <v>0.63865542411804199</v>
      </c>
      <c r="N31" s="17">
        <v>0.83753502368927002</v>
      </c>
      <c r="O31" s="17">
        <v>0.72549015283583995</v>
      </c>
      <c r="P31" s="17">
        <v>0.680672287940979</v>
      </c>
      <c r="Q31" s="17" t="s">
        <v>174</v>
      </c>
      <c r="R31" s="15">
        <f t="shared" si="4"/>
        <v>0.72058822214603269</v>
      </c>
      <c r="S31" s="15">
        <f t="shared" si="5"/>
        <v>8.5648211718709691E-2</v>
      </c>
      <c r="T31" s="15"/>
      <c r="U31" s="15"/>
      <c r="W31" s="20">
        <v>0.75</v>
      </c>
      <c r="X31" s="20" t="e">
        <f>AVERAGE(R62:R64)</f>
        <v>#DIV/0!</v>
      </c>
      <c r="Y31" s="20" t="e">
        <f>AVERAGE(S62:S64)</f>
        <v>#DIV/0!</v>
      </c>
    </row>
    <row r="32" spans="2:25" x14ac:dyDescent="0.2">
      <c r="K32" s="13" t="s">
        <v>33</v>
      </c>
      <c r="L32" s="17" t="s">
        <v>175</v>
      </c>
      <c r="M32" s="17">
        <v>7.0512816309928894E-2</v>
      </c>
      <c r="N32" s="17">
        <v>8.9743584394454901E-2</v>
      </c>
      <c r="O32" s="17" t="s">
        <v>176</v>
      </c>
      <c r="P32" s="17" t="s">
        <v>177</v>
      </c>
      <c r="Q32" s="17">
        <v>0.54487180709838801</v>
      </c>
      <c r="R32" s="15">
        <f t="shared" si="4"/>
        <v>0.23504273593425729</v>
      </c>
      <c r="S32" s="15">
        <f t="shared" si="5"/>
        <v>0.26849207737678443</v>
      </c>
      <c r="T32" s="15"/>
      <c r="U32" s="17"/>
      <c r="W32" s="20">
        <v>0.8</v>
      </c>
      <c r="X32" s="20" t="e">
        <f>AVERAGE(R65:R67)</f>
        <v>#DIV/0!</v>
      </c>
      <c r="Y32" s="20" t="e">
        <f>AVERAGE(S65:S67)</f>
        <v>#DIV/0!</v>
      </c>
    </row>
    <row r="33" spans="11:25" x14ac:dyDescent="0.2">
      <c r="K33" s="13" t="s">
        <v>34</v>
      </c>
      <c r="L33" s="17" t="s">
        <v>104</v>
      </c>
      <c r="M33" s="17">
        <v>0.207142874598503</v>
      </c>
      <c r="N33" s="17">
        <v>0.23571428656578</v>
      </c>
      <c r="O33" s="17">
        <v>0.34999996423721302</v>
      </c>
      <c r="P33" s="17" t="s">
        <v>178</v>
      </c>
      <c r="Q33" s="17">
        <v>0.25</v>
      </c>
      <c r="R33" s="15">
        <f t="shared" si="4"/>
        <v>0.260714281350374</v>
      </c>
      <c r="S33" s="15">
        <f t="shared" si="5"/>
        <v>6.2133255599097291E-2</v>
      </c>
      <c r="T33" s="15"/>
      <c r="U33" s="17"/>
      <c r="W33" s="20">
        <v>0.85</v>
      </c>
      <c r="X33" s="20" t="e">
        <f>AVERAGE(R68:R70)</f>
        <v>#DIV/0!</v>
      </c>
      <c r="Y33" s="20" t="e">
        <f>AVERAGE(S68:S70)</f>
        <v>#DIV/0!</v>
      </c>
    </row>
    <row r="34" spans="11:25" x14ac:dyDescent="0.2">
      <c r="K34" s="13" t="s">
        <v>35</v>
      </c>
      <c r="L34" s="17" t="s">
        <v>179</v>
      </c>
      <c r="M34" s="17" t="s">
        <v>180</v>
      </c>
      <c r="N34" s="17">
        <v>0.715909123420715</v>
      </c>
      <c r="O34" s="17">
        <v>0.164772734045982</v>
      </c>
      <c r="P34" s="17">
        <v>0.181818187236785</v>
      </c>
      <c r="Q34" s="17">
        <v>0.181818187236785</v>
      </c>
      <c r="R34" s="15">
        <f t="shared" si="4"/>
        <v>0.31107955798506676</v>
      </c>
      <c r="S34" s="15">
        <f t="shared" si="5"/>
        <v>0.27000596766084489</v>
      </c>
      <c r="T34" s="15"/>
      <c r="U34" s="15"/>
      <c r="W34" s="20">
        <v>0.9</v>
      </c>
      <c r="X34" s="20" t="e">
        <f>AVERAGE(R71:R73)</f>
        <v>#DIV/0!</v>
      </c>
      <c r="Y34" s="20" t="e">
        <f>AVERAGE(S71:S73)</f>
        <v>#DIV/0!</v>
      </c>
    </row>
    <row r="35" spans="11:25" x14ac:dyDescent="0.2">
      <c r="K35" s="13" t="s">
        <v>36</v>
      </c>
      <c r="L35" s="17" t="s">
        <v>108</v>
      </c>
      <c r="M35" s="17">
        <v>0.48958331346511802</v>
      </c>
      <c r="N35" s="17">
        <v>0.46875</v>
      </c>
      <c r="O35" s="17">
        <v>0.5</v>
      </c>
      <c r="P35" s="17">
        <v>0.61458331346511796</v>
      </c>
      <c r="Q35" s="17">
        <v>0.44791668653488098</v>
      </c>
      <c r="R35" s="15">
        <f t="shared" si="4"/>
        <v>0.50416666269302346</v>
      </c>
      <c r="S35" s="15">
        <f t="shared" si="5"/>
        <v>6.4885036284435746E-2</v>
      </c>
      <c r="T35" s="15"/>
      <c r="U35" s="15"/>
      <c r="W35" s="20">
        <v>0.95</v>
      </c>
      <c r="X35" s="20" t="e">
        <f>AVERAGE(R74:R76)</f>
        <v>#DIV/0!</v>
      </c>
      <c r="Y35" s="20" t="e">
        <f>AVERAGE(S74:S76)</f>
        <v>#DIV/0!</v>
      </c>
    </row>
    <row r="36" spans="11:25" x14ac:dyDescent="0.2">
      <c r="K36" s="13" t="s">
        <v>37</v>
      </c>
      <c r="L36" s="17" t="s">
        <v>181</v>
      </c>
      <c r="M36" s="17">
        <v>0.133333325386047</v>
      </c>
      <c r="N36" s="17">
        <v>0.56666672229766801</v>
      </c>
      <c r="O36" s="17">
        <v>0.16666667163372001</v>
      </c>
      <c r="P36" s="17">
        <v>0.144444450736045</v>
      </c>
      <c r="Q36" s="17">
        <v>0.144444450736045</v>
      </c>
      <c r="R36" s="15">
        <f t="shared" si="4"/>
        <v>0.231111124157905</v>
      </c>
      <c r="S36" s="15">
        <f t="shared" si="5"/>
        <v>0.18797165304958136</v>
      </c>
      <c r="T36" s="15"/>
      <c r="U36" s="15"/>
      <c r="W36" s="20">
        <v>1</v>
      </c>
      <c r="X36" s="20" t="e">
        <f>AVERAGE(R77:R79)</f>
        <v>#DIV/0!</v>
      </c>
      <c r="Y36" s="20" t="e">
        <f>AVERAGE(S77:S79)</f>
        <v>#DIV/0!</v>
      </c>
    </row>
    <row r="37" spans="11:25" x14ac:dyDescent="0.2">
      <c r="K37" s="13" t="s">
        <v>38</v>
      </c>
      <c r="L37" s="17" t="s">
        <v>182</v>
      </c>
      <c r="M37" s="17" t="s">
        <v>183</v>
      </c>
      <c r="N37" s="17">
        <v>0.71428573131561202</v>
      </c>
      <c r="O37" s="17">
        <v>0.69047617912292403</v>
      </c>
      <c r="P37" s="17">
        <v>0.71428573131561202</v>
      </c>
      <c r="Q37" s="17">
        <v>0.71428573131561202</v>
      </c>
      <c r="R37" s="15">
        <f t="shared" si="4"/>
        <v>0.70833334326744002</v>
      </c>
      <c r="S37" s="15">
        <f t="shared" si="5"/>
        <v>1.1904776096343994E-2</v>
      </c>
      <c r="T37" s="15"/>
      <c r="U37" s="15"/>
    </row>
    <row r="38" spans="11:25" x14ac:dyDescent="0.2">
      <c r="K38" s="13" t="s">
        <v>39</v>
      </c>
      <c r="L38" s="17" t="s">
        <v>184</v>
      </c>
      <c r="M38" s="17">
        <v>0.61111110448837203</v>
      </c>
      <c r="N38" s="17">
        <v>0.70370376110076904</v>
      </c>
      <c r="O38" s="17">
        <v>0.70370376110076904</v>
      </c>
      <c r="P38" s="17">
        <v>0.66666668653488104</v>
      </c>
      <c r="Q38" s="17">
        <v>0.66666662693023604</v>
      </c>
      <c r="R38" s="15">
        <f t="shared" si="4"/>
        <v>0.67037038803100546</v>
      </c>
      <c r="S38" s="15">
        <f t="shared" si="5"/>
        <v>3.7951697779764322E-2</v>
      </c>
      <c r="T38" s="15"/>
      <c r="U38" s="15"/>
      <c r="V38" s="28"/>
    </row>
    <row r="39" spans="11:25" x14ac:dyDescent="0.2">
      <c r="K39" s="13" t="s">
        <v>40</v>
      </c>
      <c r="L39" s="17" t="s">
        <v>118</v>
      </c>
      <c r="M39" s="17">
        <v>0.29166665673255898</v>
      </c>
      <c r="N39" s="17" t="s">
        <v>185</v>
      </c>
      <c r="O39" s="17">
        <v>0.312499970197677</v>
      </c>
      <c r="P39" s="17">
        <v>0.29166665673255898</v>
      </c>
      <c r="Q39" s="17">
        <v>0.27083331346511802</v>
      </c>
      <c r="R39" s="15">
        <f t="shared" si="4"/>
        <v>0.29166664928197822</v>
      </c>
      <c r="S39" s="15">
        <f t="shared" si="5"/>
        <v>1.7010341380413987E-2</v>
      </c>
      <c r="T39" s="15"/>
      <c r="U39" s="15"/>
    </row>
    <row r="40" spans="11:25" x14ac:dyDescent="0.2">
      <c r="K40" s="13" t="s">
        <v>41</v>
      </c>
      <c r="L40" s="17" t="s">
        <v>186</v>
      </c>
      <c r="M40" s="17">
        <v>0.31111109256744301</v>
      </c>
      <c r="N40" s="17">
        <v>0.37777775526046697</v>
      </c>
      <c r="O40" s="17">
        <v>0.33333331346511802</v>
      </c>
      <c r="P40" s="17" t="s">
        <v>187</v>
      </c>
      <c r="Q40" s="17">
        <v>0.33333331346511802</v>
      </c>
      <c r="R40" s="15">
        <f t="shared" si="4"/>
        <v>0.33888886868953649</v>
      </c>
      <c r="S40" s="15">
        <f t="shared" si="5"/>
        <v>2.7962348093576183E-2</v>
      </c>
      <c r="T40" s="15"/>
      <c r="U40" s="15"/>
    </row>
    <row r="41" spans="11:25" x14ac:dyDescent="0.2">
      <c r="K41" s="13" t="s">
        <v>42</v>
      </c>
      <c r="L41" s="17" t="s">
        <v>126</v>
      </c>
      <c r="M41" s="17"/>
      <c r="N41" s="17"/>
      <c r="O41" s="17"/>
      <c r="P41" s="17"/>
      <c r="Q41" s="17"/>
      <c r="R41" s="15" t="e">
        <f t="shared" si="4"/>
        <v>#DIV/0!</v>
      </c>
      <c r="S41" s="15" t="e">
        <f t="shared" si="5"/>
        <v>#DIV/0!</v>
      </c>
      <c r="T41" s="15"/>
      <c r="U41" s="17"/>
    </row>
    <row r="42" spans="11:25" x14ac:dyDescent="0.2">
      <c r="K42" s="13" t="s">
        <v>43</v>
      </c>
      <c r="L42" s="17" t="s">
        <v>188</v>
      </c>
      <c r="M42" s="17">
        <v>0.57142859697341897</v>
      </c>
      <c r="N42" s="17">
        <v>0.57142859697341897</v>
      </c>
      <c r="O42" s="17">
        <v>0.57142859697341897</v>
      </c>
      <c r="P42" s="17">
        <v>0.57142859697341897</v>
      </c>
      <c r="Q42" s="17">
        <v>0.57142859697341897</v>
      </c>
      <c r="R42" s="15">
        <f t="shared" si="4"/>
        <v>0.57142859697341897</v>
      </c>
      <c r="S42" s="15">
        <f t="shared" si="5"/>
        <v>0</v>
      </c>
      <c r="T42" s="15"/>
      <c r="U42" s="17"/>
    </row>
    <row r="43" spans="11:25" x14ac:dyDescent="0.2">
      <c r="K43" s="13" t="s">
        <v>44</v>
      </c>
      <c r="L43" s="17" t="s">
        <v>213</v>
      </c>
      <c r="M43" s="17">
        <v>0.75</v>
      </c>
      <c r="N43" s="17" t="s">
        <v>183</v>
      </c>
      <c r="O43" s="17" t="s">
        <v>189</v>
      </c>
      <c r="P43" s="17">
        <v>0.32142856717109602</v>
      </c>
      <c r="Q43" s="17">
        <v>0.5</v>
      </c>
      <c r="R43" s="15">
        <f t="shared" si="4"/>
        <v>0.52380952239036527</v>
      </c>
      <c r="S43" s="15">
        <f t="shared" si="5"/>
        <v>0.21527549390629205</v>
      </c>
      <c r="T43" s="15"/>
      <c r="U43" s="17"/>
    </row>
    <row r="44" spans="11:25" x14ac:dyDescent="0.2">
      <c r="K44" s="13" t="s">
        <v>45</v>
      </c>
      <c r="L44" s="17" t="s">
        <v>190</v>
      </c>
      <c r="M44" s="17">
        <v>0.61111110448837203</v>
      </c>
      <c r="N44" s="17">
        <v>0.27777779102325401</v>
      </c>
      <c r="O44" s="17">
        <v>0.61111110448837203</v>
      </c>
      <c r="P44" s="17" t="s">
        <v>191</v>
      </c>
      <c r="Q44" s="17" t="s">
        <v>192</v>
      </c>
      <c r="R44" s="15">
        <f t="shared" si="4"/>
        <v>0.49999999999999939</v>
      </c>
      <c r="S44" s="15">
        <f t="shared" si="5"/>
        <v>0.19245007825895558</v>
      </c>
      <c r="T44" s="15"/>
      <c r="U44" s="15"/>
    </row>
    <row r="45" spans="11:25" x14ac:dyDescent="0.2">
      <c r="K45" s="13" t="s">
        <v>46</v>
      </c>
      <c r="L45" s="17" t="s">
        <v>130</v>
      </c>
      <c r="M45" s="17">
        <v>0.65000003576278598</v>
      </c>
      <c r="N45" s="17">
        <v>0.82499998807907104</v>
      </c>
      <c r="O45" s="17">
        <v>0.80000001192092896</v>
      </c>
      <c r="P45" s="17">
        <v>0.85000002384185702</v>
      </c>
      <c r="Q45" s="17" t="s">
        <v>193</v>
      </c>
      <c r="R45" s="15">
        <f t="shared" si="4"/>
        <v>0.78125001490116075</v>
      </c>
      <c r="S45" s="15">
        <f t="shared" si="5"/>
        <v>8.9849398615087783E-2</v>
      </c>
      <c r="T45" s="15"/>
      <c r="U45" s="15"/>
    </row>
    <row r="46" spans="11:25" x14ac:dyDescent="0.2">
      <c r="K46" s="13" t="s">
        <v>47</v>
      </c>
      <c r="L46" s="17" t="s">
        <v>129</v>
      </c>
      <c r="M46" s="17">
        <v>1</v>
      </c>
      <c r="N46" s="17">
        <v>0.5</v>
      </c>
      <c r="O46" s="17">
        <v>1</v>
      </c>
      <c r="P46" s="17" t="s">
        <v>194</v>
      </c>
      <c r="Q46" s="17">
        <v>0.75</v>
      </c>
      <c r="R46" s="15">
        <f t="shared" si="4"/>
        <v>0.8125</v>
      </c>
      <c r="S46" s="15">
        <f t="shared" si="5"/>
        <v>0.23935677693908453</v>
      </c>
      <c r="T46" s="15"/>
      <c r="U46" s="15"/>
    </row>
    <row r="47" spans="11:25" x14ac:dyDescent="0.2">
      <c r="K47" s="13" t="s">
        <v>48</v>
      </c>
      <c r="L47" s="17" t="s">
        <v>132</v>
      </c>
      <c r="M47" s="17">
        <v>0.60000002384185702</v>
      </c>
      <c r="N47" s="17">
        <v>0.66666668653488104</v>
      </c>
      <c r="O47" s="17">
        <v>0.60000002384185702</v>
      </c>
      <c r="P47" s="17">
        <v>0.53333336114883401</v>
      </c>
      <c r="Q47" s="17">
        <v>0.53333336114883401</v>
      </c>
      <c r="R47" s="15">
        <f t="shared" si="4"/>
        <v>0.58666669130325266</v>
      </c>
      <c r="S47" s="15">
        <f t="shared" si="5"/>
        <v>5.5777331777683258E-2</v>
      </c>
      <c r="T47" s="15"/>
      <c r="U47" s="15"/>
    </row>
    <row r="48" spans="11:25" x14ac:dyDescent="0.2">
      <c r="K48" s="13" t="s">
        <v>49</v>
      </c>
      <c r="L48" s="17" t="s">
        <v>195</v>
      </c>
      <c r="M48" s="17">
        <v>1</v>
      </c>
      <c r="N48" s="17">
        <v>1</v>
      </c>
      <c r="O48" s="17" t="s">
        <v>196</v>
      </c>
      <c r="P48" s="17">
        <v>1</v>
      </c>
      <c r="Q48" s="17">
        <v>1</v>
      </c>
      <c r="R48" s="15">
        <f t="shared" si="4"/>
        <v>1</v>
      </c>
      <c r="S48" s="15">
        <f t="shared" si="5"/>
        <v>0</v>
      </c>
      <c r="T48" s="15"/>
      <c r="U48" s="15"/>
    </row>
    <row r="49" spans="11:21" x14ac:dyDescent="0.2">
      <c r="K49" s="13" t="s">
        <v>50</v>
      </c>
      <c r="L49" s="17" t="s">
        <v>195</v>
      </c>
      <c r="M49" s="17">
        <v>0.16666668653488101</v>
      </c>
      <c r="N49" s="17">
        <v>0.16666668653488101</v>
      </c>
      <c r="O49" s="17">
        <v>0.16666668653488101</v>
      </c>
      <c r="P49" s="17">
        <v>0.25</v>
      </c>
      <c r="Q49" s="17">
        <v>0.16666668653488101</v>
      </c>
      <c r="R49" s="15">
        <f t="shared" si="4"/>
        <v>0.18333334922790481</v>
      </c>
      <c r="S49" s="15">
        <f t="shared" si="5"/>
        <v>3.7267790739660994E-2</v>
      </c>
      <c r="T49" s="15"/>
      <c r="U49" s="15"/>
    </row>
    <row r="50" spans="11:21" x14ac:dyDescent="0.2">
      <c r="K50" s="13" t="s">
        <v>51</v>
      </c>
      <c r="L50" s="17" t="s">
        <v>197</v>
      </c>
      <c r="M50" s="17" t="s">
        <v>198</v>
      </c>
      <c r="N50" s="17">
        <v>0.60000002384185702</v>
      </c>
      <c r="O50" s="17">
        <v>0.60000002384185702</v>
      </c>
      <c r="P50" s="17">
        <v>0.60000002384185702</v>
      </c>
      <c r="Q50" s="17">
        <v>0.60000002384185702</v>
      </c>
      <c r="R50" s="15">
        <f t="shared" si="4"/>
        <v>0.60000002384185702</v>
      </c>
      <c r="S50" s="15">
        <f t="shared" si="5"/>
        <v>0</v>
      </c>
      <c r="T50" s="15"/>
      <c r="U50" s="15"/>
    </row>
    <row r="51" spans="11:21" x14ac:dyDescent="0.2">
      <c r="K51" s="13" t="s">
        <v>52</v>
      </c>
      <c r="L51" s="17" t="s">
        <v>137</v>
      </c>
      <c r="M51" s="17" t="s">
        <v>199</v>
      </c>
      <c r="N51" s="17">
        <v>0.33333334326744002</v>
      </c>
      <c r="O51" s="17">
        <v>0.33333334326744002</v>
      </c>
      <c r="P51" s="17">
        <v>0.33333334326744002</v>
      </c>
      <c r="Q51" s="17">
        <v>0.33333334326744002</v>
      </c>
      <c r="R51" s="15">
        <f t="shared" si="4"/>
        <v>0.33333334326744002</v>
      </c>
      <c r="S51" s="15">
        <f t="shared" si="5"/>
        <v>0</v>
      </c>
      <c r="T51" s="15"/>
      <c r="U51" s="15"/>
    </row>
    <row r="52" spans="11:21" x14ac:dyDescent="0.2">
      <c r="K52" s="13" t="s">
        <v>53</v>
      </c>
      <c r="L52" s="17" t="s">
        <v>140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5">
        <f t="shared" si="4"/>
        <v>0</v>
      </c>
      <c r="S52" s="15">
        <f t="shared" si="5"/>
        <v>0</v>
      </c>
      <c r="T52" s="15" t="s">
        <v>200</v>
      </c>
      <c r="U52" s="15"/>
    </row>
    <row r="53" spans="11:21" x14ac:dyDescent="0.2">
      <c r="K53" s="13" t="s">
        <v>54</v>
      </c>
      <c r="L53" s="17" t="s">
        <v>201</v>
      </c>
      <c r="M53" s="17"/>
      <c r="N53" s="17"/>
      <c r="O53" s="17"/>
      <c r="P53" s="17"/>
      <c r="Q53" s="17"/>
      <c r="R53" s="15" t="e">
        <f t="shared" si="4"/>
        <v>#DIV/0!</v>
      </c>
      <c r="S53" s="15" t="e">
        <f t="shared" si="5"/>
        <v>#DIV/0!</v>
      </c>
      <c r="T53" s="17" t="s">
        <v>202</v>
      </c>
      <c r="U53" s="15"/>
    </row>
    <row r="54" spans="11:21" x14ac:dyDescent="0.2">
      <c r="K54" s="13" t="s">
        <v>55</v>
      </c>
      <c r="L54" s="17" t="s">
        <v>201</v>
      </c>
      <c r="M54" s="17"/>
      <c r="N54" s="17"/>
      <c r="O54" s="17"/>
      <c r="P54" s="17"/>
      <c r="Q54" s="17"/>
      <c r="R54" s="15" t="e">
        <f t="shared" si="4"/>
        <v>#DIV/0!</v>
      </c>
      <c r="S54" s="15" t="e">
        <f t="shared" si="5"/>
        <v>#DIV/0!</v>
      </c>
      <c r="T54" s="15"/>
      <c r="U54" s="15"/>
    </row>
    <row r="55" spans="11:21" x14ac:dyDescent="0.2">
      <c r="K55" s="13" t="s">
        <v>56</v>
      </c>
      <c r="L55" s="17" t="s">
        <v>142</v>
      </c>
      <c r="M55" s="17">
        <v>0.83333337306976296</v>
      </c>
      <c r="N55" s="17">
        <v>0.83333337306976296</v>
      </c>
      <c r="O55" s="17">
        <v>1</v>
      </c>
      <c r="P55" s="17">
        <v>0.83333337306976296</v>
      </c>
      <c r="Q55" s="17">
        <v>0.83333337306976296</v>
      </c>
      <c r="R55" s="15">
        <f t="shared" si="4"/>
        <v>0.86666669845581035</v>
      </c>
      <c r="S55" s="15">
        <f t="shared" si="5"/>
        <v>7.4535581479321419E-2</v>
      </c>
      <c r="T55" s="15"/>
      <c r="U55" s="15"/>
    </row>
    <row r="56" spans="11:21" x14ac:dyDescent="0.2">
      <c r="K56" s="13" t="s">
        <v>57</v>
      </c>
      <c r="L56" s="17" t="s">
        <v>203</v>
      </c>
      <c r="M56" s="17"/>
      <c r="N56" s="17"/>
      <c r="O56" s="17"/>
      <c r="P56" s="17"/>
      <c r="Q56" s="17"/>
      <c r="R56" s="15" t="e">
        <f t="shared" si="4"/>
        <v>#DIV/0!</v>
      </c>
      <c r="S56" s="15" t="e">
        <f t="shared" si="5"/>
        <v>#DIV/0!</v>
      </c>
      <c r="T56" s="15"/>
      <c r="U56" s="15"/>
    </row>
    <row r="57" spans="11:21" x14ac:dyDescent="0.2">
      <c r="K57" s="13" t="s">
        <v>58</v>
      </c>
      <c r="L57" s="17" t="s">
        <v>204</v>
      </c>
      <c r="M57" s="17"/>
      <c r="N57" s="17"/>
      <c r="O57" s="17"/>
      <c r="P57" s="17"/>
      <c r="Q57" s="17"/>
      <c r="R57" s="15" t="e">
        <f t="shared" si="4"/>
        <v>#DIV/0!</v>
      </c>
      <c r="S57" s="15" t="e">
        <f t="shared" si="5"/>
        <v>#DIV/0!</v>
      </c>
      <c r="T57" s="15"/>
      <c r="U57" s="15"/>
    </row>
    <row r="58" spans="11:21" x14ac:dyDescent="0.2">
      <c r="K58" s="13" t="s">
        <v>59</v>
      </c>
      <c r="L58" s="17" t="s">
        <v>204</v>
      </c>
      <c r="M58" s="17"/>
      <c r="N58" s="17"/>
      <c r="O58" s="17"/>
      <c r="P58" s="17"/>
      <c r="Q58" s="17"/>
      <c r="R58" s="15" t="e">
        <f t="shared" si="4"/>
        <v>#DIV/0!</v>
      </c>
      <c r="S58" s="15" t="e">
        <f t="shared" si="5"/>
        <v>#DIV/0!</v>
      </c>
      <c r="T58" s="15"/>
      <c r="U58" s="15"/>
    </row>
    <row r="59" spans="11:21" x14ac:dyDescent="0.2">
      <c r="K59" s="13" t="s">
        <v>60</v>
      </c>
      <c r="L59" s="17" t="s">
        <v>205</v>
      </c>
      <c r="M59" s="17"/>
      <c r="N59" s="17"/>
      <c r="O59" s="17"/>
      <c r="P59" s="17"/>
      <c r="Q59" s="17"/>
      <c r="R59" s="15" t="e">
        <f t="shared" si="4"/>
        <v>#DIV/0!</v>
      </c>
      <c r="S59" s="15" t="e">
        <f t="shared" si="5"/>
        <v>#DIV/0!</v>
      </c>
      <c r="T59" s="17"/>
      <c r="U59" s="15"/>
    </row>
    <row r="60" spans="11:21" x14ac:dyDescent="0.2">
      <c r="K60" s="13" t="s">
        <v>61</v>
      </c>
      <c r="L60" s="17" t="s">
        <v>205</v>
      </c>
      <c r="M60" s="17"/>
      <c r="N60" s="17"/>
      <c r="O60" s="17"/>
      <c r="P60" s="17"/>
      <c r="Q60" s="17"/>
      <c r="R60" s="15" t="e">
        <f t="shared" si="4"/>
        <v>#DIV/0!</v>
      </c>
      <c r="S60" s="15" t="e">
        <f t="shared" si="5"/>
        <v>#DIV/0!</v>
      </c>
      <c r="T60" s="15"/>
      <c r="U60" s="15"/>
    </row>
    <row r="61" spans="11:21" x14ac:dyDescent="0.2">
      <c r="K61" s="13" t="s">
        <v>62</v>
      </c>
      <c r="L61" s="17" t="s">
        <v>205</v>
      </c>
      <c r="M61" s="17"/>
      <c r="N61" s="17"/>
      <c r="O61" s="17"/>
      <c r="P61" s="17"/>
      <c r="Q61" s="17"/>
      <c r="R61" s="15" t="e">
        <f t="shared" si="4"/>
        <v>#DIV/0!</v>
      </c>
      <c r="S61" s="15" t="e">
        <f t="shared" si="5"/>
        <v>#DIV/0!</v>
      </c>
      <c r="T61" s="15"/>
      <c r="U61" s="15"/>
    </row>
    <row r="62" spans="11:21" x14ac:dyDescent="0.2">
      <c r="K62" s="13" t="s">
        <v>63</v>
      </c>
      <c r="L62" s="17" t="s">
        <v>206</v>
      </c>
      <c r="M62" s="17"/>
      <c r="N62" s="17"/>
      <c r="O62" s="17"/>
      <c r="P62" s="17"/>
      <c r="Q62" s="17"/>
      <c r="R62" s="15" t="e">
        <f t="shared" si="4"/>
        <v>#DIV/0!</v>
      </c>
      <c r="S62" s="15" t="e">
        <f t="shared" si="5"/>
        <v>#DIV/0!</v>
      </c>
      <c r="T62" s="15"/>
      <c r="U62" s="17"/>
    </row>
    <row r="63" spans="11:21" x14ac:dyDescent="0.2">
      <c r="K63" s="13" t="s">
        <v>64</v>
      </c>
      <c r="L63" s="17" t="s">
        <v>206</v>
      </c>
      <c r="M63" s="17"/>
      <c r="N63" s="17"/>
      <c r="O63" s="17"/>
      <c r="P63" s="17"/>
      <c r="Q63" s="17"/>
      <c r="R63" s="15" t="e">
        <f t="shared" si="4"/>
        <v>#DIV/0!</v>
      </c>
      <c r="S63" s="15" t="e">
        <f t="shared" si="5"/>
        <v>#DIV/0!</v>
      </c>
      <c r="T63" s="15"/>
      <c r="U63" s="15"/>
    </row>
    <row r="64" spans="11:21" x14ac:dyDescent="0.2">
      <c r="K64" s="13" t="s">
        <v>65</v>
      </c>
      <c r="L64" s="17" t="s">
        <v>205</v>
      </c>
      <c r="M64" s="17"/>
      <c r="N64" s="17"/>
      <c r="O64" s="17"/>
      <c r="P64" s="17"/>
      <c r="Q64" s="17"/>
      <c r="R64" s="15" t="e">
        <f t="shared" si="4"/>
        <v>#DIV/0!</v>
      </c>
      <c r="S64" s="15" t="e">
        <f t="shared" si="5"/>
        <v>#DIV/0!</v>
      </c>
      <c r="T64" s="15"/>
      <c r="U64" s="15"/>
    </row>
    <row r="65" spans="11:21" x14ac:dyDescent="0.2">
      <c r="K65" s="13" t="s">
        <v>66</v>
      </c>
      <c r="L65" s="17" t="s">
        <v>207</v>
      </c>
      <c r="M65" s="15"/>
      <c r="N65" s="15"/>
      <c r="O65" s="15"/>
      <c r="P65" s="15"/>
      <c r="Q65" s="15"/>
      <c r="R65" s="15" t="e">
        <f t="shared" si="4"/>
        <v>#DIV/0!</v>
      </c>
      <c r="S65" s="15" t="e">
        <f t="shared" si="5"/>
        <v>#DIV/0!</v>
      </c>
      <c r="T65" s="15"/>
      <c r="U65" s="15"/>
    </row>
    <row r="66" spans="11:21" x14ac:dyDescent="0.2">
      <c r="K66" s="13" t="s">
        <v>67</v>
      </c>
      <c r="L66" s="17" t="s">
        <v>208</v>
      </c>
      <c r="M66" s="17"/>
      <c r="N66" s="15"/>
      <c r="O66" s="15"/>
      <c r="P66" s="15"/>
      <c r="Q66" s="15"/>
      <c r="R66" s="15" t="e">
        <f t="shared" si="4"/>
        <v>#DIV/0!</v>
      </c>
      <c r="S66" s="15" t="e">
        <f t="shared" si="5"/>
        <v>#DIV/0!</v>
      </c>
      <c r="T66" s="15"/>
      <c r="U66" s="15"/>
    </row>
    <row r="67" spans="11:21" x14ac:dyDescent="0.2">
      <c r="K67" s="13" t="s">
        <v>68</v>
      </c>
      <c r="L67" s="17" t="s">
        <v>209</v>
      </c>
      <c r="M67" s="15"/>
      <c r="N67" s="15"/>
      <c r="O67" s="15"/>
      <c r="P67" s="15"/>
      <c r="Q67" s="15"/>
      <c r="R67" s="15" t="e">
        <f t="shared" si="4"/>
        <v>#DIV/0!</v>
      </c>
      <c r="S67" s="15" t="e">
        <f t="shared" si="5"/>
        <v>#DIV/0!</v>
      </c>
      <c r="T67" s="15"/>
      <c r="U67" s="15"/>
    </row>
    <row r="68" spans="11:21" x14ac:dyDescent="0.2">
      <c r="K68" s="13" t="s">
        <v>69</v>
      </c>
      <c r="L68" s="17" t="s">
        <v>207</v>
      </c>
      <c r="M68" s="15"/>
      <c r="N68" s="15"/>
      <c r="O68" s="15"/>
      <c r="P68" s="15"/>
      <c r="Q68" s="15"/>
      <c r="R68" s="15" t="e">
        <f t="shared" si="4"/>
        <v>#DIV/0!</v>
      </c>
      <c r="S68" s="15" t="e">
        <f t="shared" si="5"/>
        <v>#DIV/0!</v>
      </c>
      <c r="T68" s="15"/>
      <c r="U68" s="15"/>
    </row>
    <row r="69" spans="11:21" x14ac:dyDescent="0.2">
      <c r="K69" s="13" t="s">
        <v>70</v>
      </c>
      <c r="L69" s="17" t="s">
        <v>210</v>
      </c>
      <c r="M69" s="15"/>
      <c r="N69" s="15"/>
      <c r="O69" s="15"/>
      <c r="P69" s="15"/>
      <c r="Q69" s="15"/>
      <c r="R69" s="15" t="e">
        <f t="shared" si="4"/>
        <v>#DIV/0!</v>
      </c>
      <c r="S69" s="15" t="e">
        <f t="shared" si="5"/>
        <v>#DIV/0!</v>
      </c>
      <c r="T69" s="17"/>
      <c r="U69" s="15"/>
    </row>
    <row r="70" spans="11:21" x14ac:dyDescent="0.2">
      <c r="K70" s="13" t="s">
        <v>71</v>
      </c>
      <c r="L70" s="17" t="s">
        <v>210</v>
      </c>
      <c r="M70" s="15"/>
      <c r="N70" s="15"/>
      <c r="O70" s="15"/>
      <c r="P70" s="15"/>
      <c r="Q70" s="15"/>
      <c r="R70" s="15" t="e">
        <f t="shared" si="4"/>
        <v>#DIV/0!</v>
      </c>
      <c r="S70" s="15" t="e">
        <f t="shared" si="5"/>
        <v>#DIV/0!</v>
      </c>
      <c r="T70" s="15"/>
      <c r="U70" s="15"/>
    </row>
    <row r="71" spans="11:21" x14ac:dyDescent="0.2">
      <c r="K71" s="13" t="s">
        <v>72</v>
      </c>
      <c r="L71" s="17" t="s">
        <v>211</v>
      </c>
      <c r="M71" s="15"/>
      <c r="N71" s="15"/>
      <c r="O71" s="15"/>
      <c r="P71" s="15"/>
      <c r="Q71" s="15"/>
      <c r="R71" s="15" t="e">
        <f t="shared" si="4"/>
        <v>#DIV/0!</v>
      </c>
      <c r="S71" s="15" t="e">
        <f t="shared" si="5"/>
        <v>#DIV/0!</v>
      </c>
      <c r="T71" s="15"/>
      <c r="U71" s="15"/>
    </row>
    <row r="72" spans="11:21" x14ac:dyDescent="0.2">
      <c r="K72" s="13" t="s">
        <v>73</v>
      </c>
      <c r="L72" s="17" t="s">
        <v>210</v>
      </c>
      <c r="M72" s="15"/>
      <c r="N72" s="15"/>
      <c r="O72" s="15"/>
      <c r="P72" s="15"/>
      <c r="Q72" s="15"/>
      <c r="R72" s="15" t="e">
        <f t="shared" si="4"/>
        <v>#DIV/0!</v>
      </c>
      <c r="S72" s="15" t="e">
        <f t="shared" si="5"/>
        <v>#DIV/0!</v>
      </c>
      <c r="T72" s="15"/>
      <c r="U72" s="15"/>
    </row>
    <row r="73" spans="11:21" x14ac:dyDescent="0.2">
      <c r="K73" s="13" t="s">
        <v>74</v>
      </c>
      <c r="L73" s="13"/>
      <c r="M73" s="15"/>
      <c r="N73" s="15"/>
      <c r="O73" s="15"/>
      <c r="P73" s="15"/>
      <c r="Q73" s="15"/>
      <c r="R73" s="15" t="e">
        <f t="shared" si="4"/>
        <v>#DIV/0!</v>
      </c>
      <c r="S73" s="15" t="e">
        <f t="shared" si="5"/>
        <v>#DIV/0!</v>
      </c>
      <c r="T73" s="15"/>
      <c r="U73" s="15"/>
    </row>
    <row r="74" spans="11:21" x14ac:dyDescent="0.2">
      <c r="K74" s="13" t="s">
        <v>75</v>
      </c>
      <c r="L74" s="13"/>
      <c r="M74" s="15"/>
      <c r="N74" s="15"/>
      <c r="O74" s="15"/>
      <c r="P74" s="15"/>
      <c r="Q74" s="15"/>
      <c r="R74" s="15" t="e">
        <f t="shared" si="4"/>
        <v>#DIV/0!</v>
      </c>
      <c r="S74" s="15" t="e">
        <f t="shared" si="5"/>
        <v>#DIV/0!</v>
      </c>
      <c r="T74" s="15"/>
      <c r="U74" s="15"/>
    </row>
    <row r="75" spans="11:21" x14ac:dyDescent="0.2">
      <c r="K75" s="13" t="s">
        <v>76</v>
      </c>
      <c r="L75" s="13"/>
      <c r="M75" s="15"/>
      <c r="N75" s="15"/>
      <c r="O75" s="15"/>
      <c r="P75" s="15"/>
      <c r="Q75" s="15"/>
      <c r="R75" s="15" t="e">
        <f t="shared" si="4"/>
        <v>#DIV/0!</v>
      </c>
      <c r="S75" s="15" t="e">
        <f t="shared" si="5"/>
        <v>#DIV/0!</v>
      </c>
      <c r="T75" s="15"/>
      <c r="U75" s="15"/>
    </row>
    <row r="76" spans="11:21" x14ac:dyDescent="0.2">
      <c r="K76" s="13" t="s">
        <v>77</v>
      </c>
      <c r="L76" s="13"/>
      <c r="M76" s="15"/>
      <c r="N76" s="15"/>
      <c r="O76" s="15"/>
      <c r="P76" s="15"/>
      <c r="Q76" s="15"/>
      <c r="R76" s="15" t="e">
        <f t="shared" si="4"/>
        <v>#DIV/0!</v>
      </c>
      <c r="S76" s="15" t="e">
        <f t="shared" si="5"/>
        <v>#DIV/0!</v>
      </c>
      <c r="T76" s="15"/>
      <c r="U76" s="15"/>
    </row>
    <row r="77" spans="11:21" x14ac:dyDescent="0.2">
      <c r="K77" s="13" t="s">
        <v>78</v>
      </c>
      <c r="L77" s="13"/>
      <c r="M77" s="15"/>
      <c r="N77" s="15"/>
      <c r="O77" s="15"/>
      <c r="P77" s="15"/>
      <c r="Q77" s="15"/>
      <c r="R77" s="15" t="e">
        <f t="shared" si="4"/>
        <v>#DIV/0!</v>
      </c>
      <c r="S77" s="15" t="e">
        <f t="shared" si="5"/>
        <v>#DIV/0!</v>
      </c>
      <c r="T77" s="15"/>
      <c r="U77" s="15"/>
    </row>
    <row r="78" spans="11:21" x14ac:dyDescent="0.2">
      <c r="K78" s="13" t="s">
        <v>79</v>
      </c>
      <c r="L78" s="13"/>
      <c r="M78" s="15"/>
      <c r="N78" s="15"/>
      <c r="O78" s="15"/>
      <c r="P78" s="15"/>
      <c r="Q78" s="15"/>
      <c r="R78" s="15" t="e">
        <f t="shared" si="4"/>
        <v>#DIV/0!</v>
      </c>
      <c r="S78" s="15" t="e">
        <f t="shared" si="5"/>
        <v>#DIV/0!</v>
      </c>
      <c r="T78" s="15"/>
      <c r="U78" s="15"/>
    </row>
    <row r="79" spans="11:21" x14ac:dyDescent="0.2">
      <c r="K79" s="13" t="s">
        <v>80</v>
      </c>
      <c r="L79" s="13"/>
      <c r="M79" s="15"/>
      <c r="N79" s="15"/>
      <c r="O79" s="15"/>
      <c r="P79" s="15"/>
      <c r="Q79" s="15"/>
      <c r="R79" s="15" t="e">
        <f t="shared" si="4"/>
        <v>#DIV/0!</v>
      </c>
      <c r="S79" s="15" t="e">
        <f t="shared" si="5"/>
        <v>#DIV/0!</v>
      </c>
      <c r="T79" s="15"/>
      <c r="U79" s="15"/>
    </row>
    <row r="80" spans="11:21" x14ac:dyDescent="0.2">
      <c r="K80" s="15"/>
      <c r="L80" s="17" t="s">
        <v>149</v>
      </c>
      <c r="M80" s="15"/>
      <c r="N80" s="15"/>
      <c r="O80" s="15"/>
      <c r="P80" s="15"/>
      <c r="Q80" s="15"/>
      <c r="R80" s="15"/>
      <c r="S80" s="15"/>
      <c r="T80" s="15"/>
      <c r="U80" s="1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7CD18-8D24-7448-9DDA-AB2B2A7836D7}">
  <dimension ref="B2:Y80"/>
  <sheetViews>
    <sheetView topLeftCell="N9" workbookViewId="0">
      <selection activeCell="W15" sqref="W15:Y36"/>
    </sheetView>
  </sheetViews>
  <sheetFormatPr baseColWidth="10" defaultRowHeight="16" x14ac:dyDescent="0.2"/>
  <cols>
    <col min="1" max="1" width="10.83203125" style="20"/>
    <col min="2" max="2" width="11" style="20" customWidth="1"/>
    <col min="3" max="11" width="10.83203125" style="20"/>
    <col min="12" max="12" width="17" style="20" customWidth="1"/>
    <col min="13" max="16384" width="10.83203125" style="20"/>
  </cols>
  <sheetData>
    <row r="2" spans="2:25" x14ac:dyDescent="0.2">
      <c r="B2" s="18" t="s">
        <v>14</v>
      </c>
      <c r="C2" s="19"/>
      <c r="D2" s="19"/>
      <c r="E2" s="19"/>
      <c r="F2" s="19"/>
      <c r="G2" s="19"/>
      <c r="H2" s="19"/>
      <c r="I2" s="19"/>
      <c r="K2" s="21" t="s">
        <v>15</v>
      </c>
      <c r="L2" s="22"/>
      <c r="M2" s="22"/>
      <c r="N2" s="22"/>
      <c r="O2" s="22"/>
      <c r="P2" s="22"/>
      <c r="Q2" s="22"/>
      <c r="R2" s="22"/>
    </row>
    <row r="3" spans="2:25" x14ac:dyDescent="0.2">
      <c r="B3" s="18" t="s">
        <v>5</v>
      </c>
      <c r="C3" s="18" t="s">
        <v>6</v>
      </c>
      <c r="D3" s="18" t="s">
        <v>7</v>
      </c>
      <c r="E3" s="18" t="s">
        <v>8</v>
      </c>
      <c r="F3" s="18" t="s">
        <v>9</v>
      </c>
      <c r="G3" s="18" t="s">
        <v>10</v>
      </c>
      <c r="H3" s="19"/>
      <c r="I3" s="19"/>
      <c r="K3" s="21" t="s">
        <v>5</v>
      </c>
      <c r="L3" s="21" t="s">
        <v>6</v>
      </c>
      <c r="M3" s="21" t="s">
        <v>7</v>
      </c>
      <c r="N3" s="21" t="s">
        <v>8</v>
      </c>
      <c r="O3" s="21" t="s">
        <v>9</v>
      </c>
      <c r="P3" s="21" t="s">
        <v>10</v>
      </c>
      <c r="Q3" s="22"/>
      <c r="R3" s="22"/>
    </row>
    <row r="4" spans="2:25" x14ac:dyDescent="0.2">
      <c r="B4" s="18" t="s">
        <v>0</v>
      </c>
      <c r="C4" s="30">
        <v>0.89474225044250399</v>
      </c>
      <c r="D4" s="30">
        <v>0.92044407129287698</v>
      </c>
      <c r="E4" s="30">
        <v>0.93360239267349199</v>
      </c>
      <c r="F4" s="30">
        <v>0.93114280700683505</v>
      </c>
      <c r="G4" s="30">
        <v>0.90264922380447299</v>
      </c>
      <c r="H4" s="30"/>
      <c r="I4" s="19"/>
      <c r="K4" s="21" t="s">
        <v>0</v>
      </c>
      <c r="L4" s="31">
        <v>0.84289491176605202</v>
      </c>
      <c r="M4" s="31">
        <v>0.83657234907150202</v>
      </c>
      <c r="N4" s="31">
        <v>0.83333331346511796</v>
      </c>
      <c r="O4" s="31">
        <v>0.81485795974731401</v>
      </c>
      <c r="P4" s="31">
        <v>0.81750100851058904</v>
      </c>
      <c r="Q4" s="31"/>
      <c r="R4" s="31"/>
    </row>
    <row r="5" spans="2:25" x14ac:dyDescent="0.2">
      <c r="B5" s="18" t="s">
        <v>1</v>
      </c>
      <c r="C5" s="30">
        <v>0.90401244163513095</v>
      </c>
      <c r="D5" s="30">
        <v>0.90888071060180597</v>
      </c>
      <c r="E5" s="30">
        <v>0.94828265905380205</v>
      </c>
      <c r="F5" s="30">
        <v>0.93591076135635298</v>
      </c>
      <c r="G5" s="30">
        <v>0.93094313144683805</v>
      </c>
      <c r="H5" s="19"/>
      <c r="I5" s="19"/>
      <c r="K5" s="21" t="s">
        <v>1</v>
      </c>
      <c r="L5" s="31">
        <v>0.845162153244018</v>
      </c>
      <c r="M5" s="31">
        <v>0.792832791805267</v>
      </c>
      <c r="N5" s="31">
        <v>0.83587270975112904</v>
      </c>
      <c r="O5" s="31">
        <v>0.84522700309753396</v>
      </c>
      <c r="P5" s="31">
        <v>0.83540630340576105</v>
      </c>
      <c r="Q5" s="22"/>
      <c r="R5" s="22"/>
    </row>
    <row r="6" spans="2:25" x14ac:dyDescent="0.2">
      <c r="B6" s="18" t="s">
        <v>2</v>
      </c>
      <c r="C6" s="30">
        <v>0.89197510480880704</v>
      </c>
      <c r="D6" s="30">
        <v>0.91414642333984297</v>
      </c>
      <c r="E6" s="30">
        <v>0.94278252124786299</v>
      </c>
      <c r="F6" s="30">
        <v>0.92253112792968694</v>
      </c>
      <c r="G6" s="30">
        <v>0.92709290981292702</v>
      </c>
      <c r="H6" s="19"/>
      <c r="I6" s="19"/>
      <c r="K6" s="21" t="s">
        <v>2</v>
      </c>
      <c r="L6" s="31">
        <v>0.843594551086425</v>
      </c>
      <c r="M6" s="31">
        <v>0.80985701084136896</v>
      </c>
      <c r="N6" s="31">
        <v>0.79449105262756303</v>
      </c>
      <c r="O6" s="31">
        <v>0.82729578018188399</v>
      </c>
      <c r="P6" s="31">
        <v>0.85305243730545</v>
      </c>
      <c r="Q6" s="22"/>
      <c r="R6" s="22"/>
    </row>
    <row r="7" spans="2:25" x14ac:dyDescent="0.2">
      <c r="B7" s="18" t="s">
        <v>3</v>
      </c>
      <c r="C7" s="30">
        <v>0.87440335750579801</v>
      </c>
      <c r="D7" s="30">
        <v>0.91222518682479803</v>
      </c>
      <c r="E7" s="30">
        <v>0.94642299413680997</v>
      </c>
      <c r="F7" s="30">
        <v>0.91029715538024902</v>
      </c>
      <c r="G7" s="30">
        <v>0.92829394340515103</v>
      </c>
      <c r="H7" s="19"/>
      <c r="I7" s="19"/>
      <c r="K7" s="21" t="s">
        <v>3</v>
      </c>
      <c r="L7" s="31">
        <v>0.82143962383270197</v>
      </c>
      <c r="M7" s="31">
        <v>0.81874483823776201</v>
      </c>
      <c r="N7" s="31">
        <v>0.78220880031585605</v>
      </c>
      <c r="O7" s="31">
        <v>0.82496368885040205</v>
      </c>
      <c r="P7" s="31">
        <v>0.84895831346511796</v>
      </c>
      <c r="Q7" s="22"/>
      <c r="R7" s="22"/>
    </row>
    <row r="8" spans="2:25" x14ac:dyDescent="0.2">
      <c r="B8" s="18" t="s">
        <v>4</v>
      </c>
      <c r="C8" s="30">
        <v>0.89342790842056197</v>
      </c>
      <c r="D8" s="30">
        <v>0.91144239902496305</v>
      </c>
      <c r="E8" s="30">
        <v>0.94060623645782404</v>
      </c>
      <c r="F8" s="30">
        <v>0.95904785394668501</v>
      </c>
      <c r="G8" s="30">
        <v>0.91688454151153498</v>
      </c>
      <c r="H8" s="19"/>
      <c r="I8" s="19"/>
      <c r="K8" s="21" t="s">
        <v>4</v>
      </c>
      <c r="L8" s="31">
        <v>0.83240044116973799</v>
      </c>
      <c r="M8" s="31">
        <v>0.83411067724227905</v>
      </c>
      <c r="N8" s="31">
        <v>0.80392313003539995</v>
      </c>
      <c r="O8" s="31">
        <v>0.84051096439361495</v>
      </c>
      <c r="P8" s="31">
        <v>0.83278912305831898</v>
      </c>
      <c r="Q8" s="22"/>
      <c r="R8" s="22"/>
    </row>
    <row r="9" spans="2:25" x14ac:dyDescent="0.2">
      <c r="B9" s="18" t="s">
        <v>11</v>
      </c>
      <c r="C9" s="19">
        <f>AVERAGE(C4:C8)</f>
        <v>0.89171221256256028</v>
      </c>
      <c r="D9" s="19">
        <f t="shared" ref="D9:G9" si="0">AVERAGE(D4:D8)</f>
        <v>0.9134277582168574</v>
      </c>
      <c r="E9" s="19">
        <f t="shared" si="0"/>
        <v>0.94233936071395819</v>
      </c>
      <c r="F9" s="19">
        <f t="shared" si="0"/>
        <v>0.93178594112396185</v>
      </c>
      <c r="G9" s="19">
        <f t="shared" si="0"/>
        <v>0.92117274999618481</v>
      </c>
      <c r="H9" s="18" t="s">
        <v>13</v>
      </c>
      <c r="I9" s="18">
        <f>AVERAGE(C4:G8)</f>
        <v>0.92008760452270477</v>
      </c>
      <c r="K9" s="21" t="s">
        <v>11</v>
      </c>
      <c r="L9" s="22">
        <f>AVERAGE(L4:L8)</f>
        <v>0.83709833621978691</v>
      </c>
      <c r="M9" s="22">
        <f>AVERAGE(M4:M8)</f>
        <v>0.81842353343963592</v>
      </c>
      <c r="N9" s="22">
        <f t="shared" ref="N9:P9" si="1">AVERAGE(N4:N8)</f>
        <v>0.80996580123901329</v>
      </c>
      <c r="O9" s="22">
        <f t="shared" si="1"/>
        <v>0.83057107925414986</v>
      </c>
      <c r="P9" s="22">
        <f t="shared" si="1"/>
        <v>0.83754143714904727</v>
      </c>
      <c r="Q9" s="21" t="s">
        <v>13</v>
      </c>
      <c r="R9" s="21">
        <f>AVERAGE(L4:P8)</f>
        <v>0.82672003746032696</v>
      </c>
    </row>
    <row r="10" spans="2:25" x14ac:dyDescent="0.2">
      <c r="B10" s="18" t="s">
        <v>12</v>
      </c>
      <c r="C10" s="19">
        <f>STDEV(C4:C8)</f>
        <v>1.0759715990418988E-2</v>
      </c>
      <c r="D10" s="19">
        <f t="shared" ref="D10:G10" si="2">STDEV(D4:D8)</f>
        <v>4.3534067070256314E-3</v>
      </c>
      <c r="E10" s="19">
        <f t="shared" si="2"/>
        <v>5.734404471581204E-3</v>
      </c>
      <c r="F10" s="19">
        <f t="shared" si="2"/>
        <v>1.8083550081469304E-2</v>
      </c>
      <c r="G10" s="19">
        <f t="shared" si="2"/>
        <v>1.1648280947180562E-2</v>
      </c>
      <c r="H10" s="18" t="s">
        <v>12</v>
      </c>
      <c r="I10" s="18">
        <f>STDEV(C4:G8)</f>
        <v>2.0345603064779779E-2</v>
      </c>
      <c r="K10" s="21" t="s">
        <v>12</v>
      </c>
      <c r="L10" s="22">
        <f>STDEV(L4:L8)</f>
        <v>1.0100640229461808E-2</v>
      </c>
      <c r="M10" s="22">
        <f>STDEV(M4:M8)</f>
        <v>1.8054366460230696E-2</v>
      </c>
      <c r="N10" s="22">
        <f t="shared" ref="N10:P10" si="3">STDEV(N4:N8)</f>
        <v>2.3788870067759624E-2</v>
      </c>
      <c r="O10" s="22">
        <f t="shared" si="3"/>
        <v>1.2274668591022808E-2</v>
      </c>
      <c r="P10" s="22">
        <f t="shared" si="3"/>
        <v>1.4139468306836824E-2</v>
      </c>
      <c r="Q10" s="21" t="s">
        <v>12</v>
      </c>
      <c r="R10" s="21">
        <f>STDEV(L4:P8)</f>
        <v>1.862327781938727E-2</v>
      </c>
    </row>
    <row r="11" spans="2:25" x14ac:dyDescent="0.2">
      <c r="B11" s="19"/>
      <c r="C11" s="19"/>
      <c r="D11" s="19"/>
      <c r="E11" s="19"/>
      <c r="F11" s="19"/>
      <c r="G11" s="19"/>
      <c r="H11" s="19"/>
      <c r="I11" s="19"/>
      <c r="K11" s="22"/>
      <c r="L11" s="22"/>
      <c r="M11" s="22"/>
      <c r="N11" s="22"/>
      <c r="O11" s="22"/>
      <c r="P11" s="22"/>
      <c r="Q11" s="22"/>
      <c r="R11" s="22"/>
    </row>
    <row r="15" spans="2:25" x14ac:dyDescent="0.2">
      <c r="B15" s="25" t="s">
        <v>16</v>
      </c>
      <c r="C15" s="26"/>
      <c r="D15" s="26"/>
      <c r="E15" s="26"/>
      <c r="F15" s="26"/>
      <c r="G15" s="26"/>
      <c r="H15" s="26"/>
      <c r="I15" s="26"/>
      <c r="K15" s="13" t="s">
        <v>17</v>
      </c>
      <c r="L15" s="13"/>
      <c r="M15" s="15"/>
      <c r="N15" s="15"/>
      <c r="O15" s="15"/>
      <c r="P15" s="15"/>
      <c r="Q15" s="15"/>
      <c r="R15" s="15"/>
      <c r="S15" s="15"/>
      <c r="T15" s="15"/>
      <c r="U15" s="15"/>
      <c r="W15" s="20" t="s">
        <v>291</v>
      </c>
      <c r="X15" s="20" t="s">
        <v>5</v>
      </c>
      <c r="Y15" s="20" t="s">
        <v>12</v>
      </c>
    </row>
    <row r="16" spans="2:25" x14ac:dyDescent="0.2">
      <c r="B16" s="25" t="s">
        <v>5</v>
      </c>
      <c r="C16" s="25" t="s">
        <v>6</v>
      </c>
      <c r="D16" s="25" t="s">
        <v>7</v>
      </c>
      <c r="E16" s="25" t="s">
        <v>8</v>
      </c>
      <c r="F16" s="25" t="s">
        <v>9</v>
      </c>
      <c r="G16" s="25" t="s">
        <v>10</v>
      </c>
      <c r="H16" s="26"/>
      <c r="I16" s="26"/>
      <c r="K16" s="13" t="s">
        <v>5</v>
      </c>
      <c r="L16" s="13" t="s">
        <v>83</v>
      </c>
      <c r="M16" s="13" t="s">
        <v>0</v>
      </c>
      <c r="N16" s="13" t="s">
        <v>1</v>
      </c>
      <c r="O16" s="13" t="s">
        <v>2</v>
      </c>
      <c r="P16" s="13" t="s">
        <v>3</v>
      </c>
      <c r="Q16" s="13" t="s">
        <v>4</v>
      </c>
      <c r="R16" s="13" t="s">
        <v>11</v>
      </c>
      <c r="S16" s="13" t="s">
        <v>12</v>
      </c>
      <c r="T16" s="15"/>
      <c r="U16" s="15"/>
      <c r="W16" s="20">
        <v>0</v>
      </c>
      <c r="X16" s="20">
        <f>AVERAGE(R17:R19)</f>
        <v>0.89080303510030079</v>
      </c>
      <c r="Y16" s="20">
        <f>AVERAGE(S17:S19)</f>
        <v>1.3198853394248882E-2</v>
      </c>
    </row>
    <row r="17" spans="2:25" x14ac:dyDescent="0.2">
      <c r="B17" s="25" t="s">
        <v>0</v>
      </c>
      <c r="C17" s="32">
        <v>0.663352310657501</v>
      </c>
      <c r="D17" s="32">
        <v>0.71021360158920199</v>
      </c>
      <c r="E17" s="32">
        <v>0.76758408546447698</v>
      </c>
      <c r="F17" s="32">
        <v>0.819513440132141</v>
      </c>
      <c r="G17" s="32">
        <v>0.99068319797515803</v>
      </c>
      <c r="H17" s="26"/>
      <c r="I17" s="32"/>
      <c r="K17" s="13" t="s">
        <v>18</v>
      </c>
      <c r="L17" s="9" t="s">
        <v>298</v>
      </c>
      <c r="M17" s="9">
        <v>0.90126049518585205</v>
      </c>
      <c r="N17" s="9">
        <v>0.88876998424529996</v>
      </c>
      <c r="O17" s="9">
        <v>0.88773870468139604</v>
      </c>
      <c r="P17" s="9">
        <v>0.89346832036972001</v>
      </c>
      <c r="Q17" s="9">
        <v>0.86058068275451605</v>
      </c>
      <c r="R17" s="15">
        <f>AVERAGE(M17:Q17)</f>
        <v>0.8863636374473568</v>
      </c>
      <c r="S17" s="15">
        <f>STDEV(M17:Q17)</f>
        <v>1.5369083881379073E-2</v>
      </c>
      <c r="T17" s="9" t="s">
        <v>297</v>
      </c>
      <c r="U17" s="16"/>
      <c r="W17" s="20">
        <v>0.05</v>
      </c>
      <c r="X17" s="20">
        <f>AVERAGE(R20:R22)</f>
        <v>0.8441971858342483</v>
      </c>
      <c r="Y17" s="20">
        <f>AVERAGE(S20:S22)</f>
        <v>1.2715475610828801E-2</v>
      </c>
    </row>
    <row r="18" spans="2:25" x14ac:dyDescent="0.2">
      <c r="B18" s="25" t="s">
        <v>1</v>
      </c>
      <c r="C18" s="32">
        <v>0.571732938289642</v>
      </c>
      <c r="D18" s="32">
        <v>0.77696722745895297</v>
      </c>
      <c r="E18" s="32">
        <v>0.75739043951034501</v>
      </c>
      <c r="F18" s="32">
        <v>0.93346577882766701</v>
      </c>
      <c r="G18" s="32">
        <v>0.68788820505142201</v>
      </c>
      <c r="H18" s="26"/>
      <c r="I18" s="32"/>
      <c r="K18" s="13" t="s">
        <v>19</v>
      </c>
      <c r="L18" s="9" t="s">
        <v>298</v>
      </c>
      <c r="M18" s="9">
        <v>0.90574967861175504</v>
      </c>
      <c r="N18" s="9">
        <v>0.87917160987854004</v>
      </c>
      <c r="O18" s="9">
        <v>0.87568491697311401</v>
      </c>
      <c r="P18" s="9">
        <v>0.90439766645431496</v>
      </c>
      <c r="Q18" s="9">
        <v>0.90204936265945401</v>
      </c>
      <c r="R18" s="15">
        <f t="shared" ref="R18:R79" si="4">AVERAGE(M18:Q18)</f>
        <v>0.89341064691543559</v>
      </c>
      <c r="S18" s="15">
        <f t="shared" ref="S18:S79" si="5">STDEV(M18:Q18)</f>
        <v>1.470157635240728E-2</v>
      </c>
      <c r="T18" s="15"/>
      <c r="U18" s="15"/>
      <c r="W18" s="20">
        <v>0.1</v>
      </c>
      <c r="X18" s="20">
        <f>AVERAGE(R23:R25)</f>
        <v>0.85093810757001209</v>
      </c>
      <c r="Y18" s="20">
        <f>AVERAGE(S23:S25)</f>
        <v>1.9926870406923942E-2</v>
      </c>
    </row>
    <row r="19" spans="2:25" x14ac:dyDescent="0.2">
      <c r="B19" s="25" t="s">
        <v>2</v>
      </c>
      <c r="C19" s="32">
        <v>0.56747156381607</v>
      </c>
      <c r="D19" s="32">
        <v>0.836373090744018</v>
      </c>
      <c r="E19" s="32">
        <v>0.776758432388305</v>
      </c>
      <c r="F19" s="32">
        <v>0.88232374191284102</v>
      </c>
      <c r="G19" s="32">
        <v>0.74534165859222401</v>
      </c>
      <c r="H19" s="26"/>
      <c r="I19" s="26"/>
      <c r="K19" s="13" t="s">
        <v>20</v>
      </c>
      <c r="L19" s="9" t="s">
        <v>298</v>
      </c>
      <c r="M19" s="9">
        <v>0.90726965665817205</v>
      </c>
      <c r="N19" s="9">
        <v>0.89522182941436701</v>
      </c>
      <c r="O19" s="9">
        <v>0.89191126823425204</v>
      </c>
      <c r="P19" s="9">
        <v>0.88273042440414395</v>
      </c>
      <c r="Q19" s="9">
        <v>0.88604092597961404</v>
      </c>
      <c r="R19" s="15">
        <f t="shared" si="4"/>
        <v>0.89263482093810986</v>
      </c>
      <c r="S19" s="15">
        <f t="shared" si="5"/>
        <v>9.5258999489602949E-3</v>
      </c>
      <c r="T19" s="15"/>
      <c r="U19" s="15"/>
      <c r="W19" s="20">
        <v>0.15</v>
      </c>
      <c r="X19" s="20">
        <f>AVERAGE(R26:R28)</f>
        <v>0.76180378695328999</v>
      </c>
      <c r="Y19" s="20">
        <f>AVERAGE(S26:S28)</f>
        <v>5.7319621775607954E-2</v>
      </c>
    </row>
    <row r="20" spans="2:25" x14ac:dyDescent="0.2">
      <c r="B20" s="25" t="s">
        <v>3</v>
      </c>
      <c r="C20" s="32">
        <v>0.683238625526428</v>
      </c>
      <c r="D20" s="32">
        <v>0.80661803483963002</v>
      </c>
      <c r="E20" s="32">
        <v>0.79408764839172297</v>
      </c>
      <c r="F20" s="32">
        <v>0.70084410905838002</v>
      </c>
      <c r="G20" s="32">
        <v>0.895962715148925</v>
      </c>
      <c r="H20" s="26"/>
      <c r="I20" s="26"/>
      <c r="K20" s="13" t="s">
        <v>21</v>
      </c>
      <c r="L20" s="9" t="s">
        <v>299</v>
      </c>
      <c r="M20" s="9">
        <v>0.87942022085189797</v>
      </c>
      <c r="N20" s="9">
        <v>0.88594210147857599</v>
      </c>
      <c r="O20" s="9">
        <v>0.89028990268707198</v>
      </c>
      <c r="P20" s="9">
        <v>0.87362319231033303</v>
      </c>
      <c r="Q20" s="9">
        <v>0.85188400745391801</v>
      </c>
      <c r="R20" s="15">
        <f t="shared" si="4"/>
        <v>0.87623188495635951</v>
      </c>
      <c r="S20" s="15">
        <f t="shared" si="5"/>
        <v>1.5014210513738814E-2</v>
      </c>
      <c r="T20" s="15"/>
      <c r="U20" s="15"/>
      <c r="W20" s="20">
        <v>0.2</v>
      </c>
      <c r="X20" s="20">
        <f>AVERAGE(R29:R31)</f>
        <v>0.82393952906131718</v>
      </c>
      <c r="Y20" s="20">
        <f>AVERAGE(S29:S31)</f>
        <v>4.0354599078961995E-2</v>
      </c>
    </row>
    <row r="21" spans="2:25" x14ac:dyDescent="0.2">
      <c r="B21" s="25" t="s">
        <v>4</v>
      </c>
      <c r="C21" s="32">
        <v>0.549715936183929</v>
      </c>
      <c r="D21" s="32">
        <v>0.70964044332504195</v>
      </c>
      <c r="E21" s="32">
        <v>0.726809322834014</v>
      </c>
      <c r="F21" s="32">
        <v>0.86171799898147505</v>
      </c>
      <c r="G21" s="32">
        <v>0.71583855152130105</v>
      </c>
      <c r="H21" s="26"/>
      <c r="I21" s="26"/>
      <c r="K21" s="13" t="s">
        <v>22</v>
      </c>
      <c r="L21" s="9" t="s">
        <v>300</v>
      </c>
      <c r="M21" s="9">
        <v>0.86608624458312899</v>
      </c>
      <c r="N21" s="9">
        <v>0.86995577812194802</v>
      </c>
      <c r="O21" s="9">
        <v>0.84825873374938898</v>
      </c>
      <c r="P21" s="9">
        <v>0.87271976470947199</v>
      </c>
      <c r="Q21" s="9">
        <v>0.88405191898345903</v>
      </c>
      <c r="R21" s="15">
        <f t="shared" si="4"/>
        <v>0.86821448802947931</v>
      </c>
      <c r="S21" s="15">
        <f t="shared" si="5"/>
        <v>1.3008798728416154E-2</v>
      </c>
      <c r="T21" s="15"/>
      <c r="U21" s="15"/>
      <c r="W21" s="20">
        <v>0.25</v>
      </c>
      <c r="X21" s="20">
        <f>AVERAGE(R32:R34)</f>
        <v>0.64763608699043551</v>
      </c>
      <c r="Y21" s="20">
        <f>AVERAGE(S32:S34)</f>
        <v>6.9135068597884888E-2</v>
      </c>
    </row>
    <row r="22" spans="2:25" x14ac:dyDescent="0.2">
      <c r="B22" s="25" t="s">
        <v>11</v>
      </c>
      <c r="C22" s="26">
        <f>AVERAGE(C17:C21)</f>
        <v>0.60710227489471413</v>
      </c>
      <c r="D22" s="26">
        <f t="shared" ref="D22:G22" si="6">AVERAGE(D17:D21)</f>
        <v>0.76796247959136898</v>
      </c>
      <c r="E22" s="26">
        <f t="shared" si="6"/>
        <v>0.76452598571777275</v>
      </c>
      <c r="F22" s="26">
        <f t="shared" si="6"/>
        <v>0.83957301378250082</v>
      </c>
      <c r="G22" s="26">
        <f t="shared" si="6"/>
        <v>0.80714286565780602</v>
      </c>
      <c r="H22" s="25" t="s">
        <v>13</v>
      </c>
      <c r="I22" s="25">
        <f>AVERAGE(C17:G21)</f>
        <v>0.75726132392883283</v>
      </c>
      <c r="K22" s="13" t="s">
        <v>23</v>
      </c>
      <c r="L22" s="9" t="s">
        <v>301</v>
      </c>
      <c r="M22" s="9">
        <v>0.79170829057693404</v>
      </c>
      <c r="N22" s="9">
        <v>0.79370629787445002</v>
      </c>
      <c r="O22" s="9">
        <v>0.78088581562042203</v>
      </c>
      <c r="P22" s="9">
        <v>0.77472525835037198</v>
      </c>
      <c r="Q22" s="9">
        <v>0.79970026016235296</v>
      </c>
      <c r="R22" s="15">
        <f t="shared" si="4"/>
        <v>0.78814518451690618</v>
      </c>
      <c r="S22" s="15">
        <f t="shared" si="5"/>
        <v>1.0123417590331437E-2</v>
      </c>
      <c r="T22" s="15"/>
      <c r="U22" s="15"/>
      <c r="W22" s="20">
        <v>0.3</v>
      </c>
      <c r="X22" s="20">
        <f>AVERAGE(R35:R37)</f>
        <v>0.56591844360033627</v>
      </c>
      <c r="Y22" s="20">
        <f>AVERAGE(S35:S37)</f>
        <v>0.15204304376978842</v>
      </c>
    </row>
    <row r="23" spans="2:25" x14ac:dyDescent="0.2">
      <c r="B23" s="25" t="s">
        <v>12</v>
      </c>
      <c r="C23" s="26">
        <f>STDEV(C17:C21)</f>
        <v>6.1391337976014371E-2</v>
      </c>
      <c r="D23" s="26">
        <f t="shared" ref="D23:G23" si="7">STDEV(D17:D21)</f>
        <v>5.6990661469114828E-2</v>
      </c>
      <c r="E23" s="26">
        <f t="shared" si="7"/>
        <v>2.5031676454155397E-2</v>
      </c>
      <c r="F23" s="26">
        <f t="shared" si="7"/>
        <v>8.7723959033368173E-2</v>
      </c>
      <c r="G23" s="26">
        <f t="shared" si="7"/>
        <v>0.13033951847179071</v>
      </c>
      <c r="H23" s="25" t="s">
        <v>12</v>
      </c>
      <c r="I23" s="25">
        <f>STDEV(C17:G21)</f>
        <v>0.10977273146583248</v>
      </c>
      <c r="K23" s="13" t="s">
        <v>24</v>
      </c>
      <c r="L23" s="9" t="s">
        <v>302</v>
      </c>
      <c r="M23" s="9" t="s">
        <v>303</v>
      </c>
      <c r="N23" s="9">
        <v>0.88488483428955</v>
      </c>
      <c r="O23" s="9">
        <v>0.90490496158599798</v>
      </c>
      <c r="P23" s="9">
        <v>0.85885882377624501</v>
      </c>
      <c r="Q23" s="9">
        <v>0.86086082458496005</v>
      </c>
      <c r="R23" s="15">
        <f t="shared" si="4"/>
        <v>0.87737736105918829</v>
      </c>
      <c r="S23" s="15">
        <f t="shared" si="5"/>
        <v>2.1831652443737765E-2</v>
      </c>
      <c r="T23" s="15"/>
      <c r="U23" s="15"/>
      <c r="W23" s="20">
        <v>0.35</v>
      </c>
      <c r="X23" s="20">
        <f>AVERAGE(R38:R40)</f>
        <v>0.6254678249359128</v>
      </c>
      <c r="Y23" s="20">
        <f>AVERAGE(S38:S40)</f>
        <v>0.10525843064490731</v>
      </c>
    </row>
    <row r="24" spans="2:25" x14ac:dyDescent="0.2">
      <c r="B24" s="26"/>
      <c r="C24" s="26"/>
      <c r="D24" s="26"/>
      <c r="E24" s="26"/>
      <c r="F24" s="26"/>
      <c r="G24" s="26"/>
      <c r="H24" s="26"/>
      <c r="I24" s="26"/>
      <c r="K24" s="13" t="s">
        <v>25</v>
      </c>
      <c r="L24" s="9" t="s">
        <v>304</v>
      </c>
      <c r="M24" s="9" t="s">
        <v>305</v>
      </c>
      <c r="N24" s="9">
        <v>0.81410253047943104</v>
      </c>
      <c r="O24" s="9">
        <v>0.83119654655456499</v>
      </c>
      <c r="P24" s="9">
        <v>0.78258550167083696</v>
      </c>
      <c r="Q24" s="9">
        <v>0.77564096450805597</v>
      </c>
      <c r="R24" s="15">
        <f t="shared" si="4"/>
        <v>0.80088138580322221</v>
      </c>
      <c r="S24" s="15">
        <f t="shared" si="5"/>
        <v>2.6240083087216946E-2</v>
      </c>
      <c r="T24" s="15"/>
      <c r="U24" s="15"/>
      <c r="W24" s="20">
        <v>0.4</v>
      </c>
      <c r="X24" s="20">
        <f>AVERAGE(R42:R43)</f>
        <v>0.84494047760963431</v>
      </c>
      <c r="Y24" s="20">
        <f>AVERAGE(S42:S43)</f>
        <v>0.14691652877568631</v>
      </c>
    </row>
    <row r="25" spans="2:25" x14ac:dyDescent="0.2">
      <c r="B25" s="29"/>
      <c r="K25" s="13" t="s">
        <v>26</v>
      </c>
      <c r="L25" s="9" t="s">
        <v>306</v>
      </c>
      <c r="M25" s="9">
        <v>0.85944449901580799</v>
      </c>
      <c r="N25" s="9">
        <v>0.87333333492278997</v>
      </c>
      <c r="O25" s="9">
        <v>0.87222230434417702</v>
      </c>
      <c r="P25" s="9">
        <v>0.89222216606140103</v>
      </c>
      <c r="Q25" s="9">
        <v>0.87555557489395097</v>
      </c>
      <c r="R25" s="15">
        <f t="shared" si="4"/>
        <v>0.87455557584762533</v>
      </c>
      <c r="S25" s="15">
        <f t="shared" si="5"/>
        <v>1.1708875689817112E-2</v>
      </c>
      <c r="T25" s="15"/>
      <c r="U25" s="15"/>
      <c r="W25" s="20">
        <v>0.45</v>
      </c>
      <c r="X25" s="20">
        <f>AVERAGE(R44:R46)</f>
        <v>0.57544443905353526</v>
      </c>
      <c r="Y25" s="20">
        <f>AVERAGE(S44:S46)</f>
        <v>0.17344809451114906</v>
      </c>
    </row>
    <row r="26" spans="2:25" x14ac:dyDescent="0.2">
      <c r="B26" s="29"/>
      <c r="C26" s="29"/>
      <c r="D26" s="29"/>
      <c r="E26" s="29"/>
      <c r="F26" s="29"/>
      <c r="G26" s="29"/>
      <c r="K26" s="13" t="s">
        <v>27</v>
      </c>
      <c r="L26" s="9" t="s">
        <v>307</v>
      </c>
      <c r="M26" s="9">
        <v>0.78139537572860696</v>
      </c>
      <c r="N26" s="9">
        <v>0.79302328824996904</v>
      </c>
      <c r="O26" s="9">
        <v>0.85000002384185702</v>
      </c>
      <c r="P26" s="9">
        <v>0.79767441749572698</v>
      </c>
      <c r="Q26" s="9">
        <v>0.77499997615814198</v>
      </c>
      <c r="R26" s="15">
        <f t="shared" si="4"/>
        <v>0.79941861629486044</v>
      </c>
      <c r="S26" s="15">
        <f t="shared" si="5"/>
        <v>2.9679658127763364E-2</v>
      </c>
      <c r="T26" s="15"/>
      <c r="U26" s="15"/>
      <c r="W26" s="20">
        <v>0.5</v>
      </c>
      <c r="X26" s="20">
        <f>AVERAGE(R47:R49)</f>
        <v>0.54333333770434045</v>
      </c>
      <c r="Y26" s="20">
        <f>AVERAGE(S47:S49)</f>
        <v>0.1127465484977735</v>
      </c>
    </row>
    <row r="27" spans="2:25" x14ac:dyDescent="0.2">
      <c r="B27" s="29"/>
      <c r="K27" s="13" t="s">
        <v>28</v>
      </c>
      <c r="L27" s="9" t="s">
        <v>308</v>
      </c>
      <c r="M27" s="9">
        <v>0.79831928014755205</v>
      </c>
      <c r="N27" s="9">
        <v>0.78751492500305098</v>
      </c>
      <c r="O27" s="9">
        <v>0.85234093666076605</v>
      </c>
      <c r="P27" s="9">
        <v>0.77551019191741899</v>
      </c>
      <c r="Q27" s="9" t="s">
        <v>309</v>
      </c>
      <c r="R27" s="15">
        <f t="shared" si="4"/>
        <v>0.80342133343219702</v>
      </c>
      <c r="S27" s="15">
        <f t="shared" si="5"/>
        <v>3.3917567608997515E-2</v>
      </c>
      <c r="T27" s="15"/>
      <c r="U27" s="15"/>
      <c r="W27" s="20">
        <v>0.55000000000000004</v>
      </c>
      <c r="X27" s="20">
        <f>AVERAGE(R50:R52)</f>
        <v>0.45624999999999999</v>
      </c>
      <c r="Y27" s="20">
        <f>AVERAGE(S50:S52)</f>
        <v>5.4326686710022061E-2</v>
      </c>
    </row>
    <row r="28" spans="2:25" x14ac:dyDescent="0.2">
      <c r="B28" s="29"/>
      <c r="K28" s="13" t="s">
        <v>29</v>
      </c>
      <c r="L28" s="9" t="s">
        <v>310</v>
      </c>
      <c r="M28" s="9">
        <v>0.77571427822113004</v>
      </c>
      <c r="N28" s="9">
        <v>0.731428563594818</v>
      </c>
      <c r="O28" s="9">
        <v>0.51714283227920499</v>
      </c>
      <c r="P28" s="9">
        <v>0.75857138633728005</v>
      </c>
      <c r="Q28" s="9">
        <v>0.62999999523162797</v>
      </c>
      <c r="R28" s="15">
        <f t="shared" si="4"/>
        <v>0.68257141113281228</v>
      </c>
      <c r="S28" s="15">
        <f t="shared" si="5"/>
        <v>0.10836163959006298</v>
      </c>
      <c r="T28" s="15"/>
      <c r="U28" s="15"/>
      <c r="W28" s="20">
        <v>0.6</v>
      </c>
      <c r="X28" s="20">
        <f>AVERAGE(R53:R55)</f>
        <v>0.35833332836627935</v>
      </c>
      <c r="Y28" s="20">
        <f>AVERAGE(S53:S55)</f>
        <v>0.28594902319511223</v>
      </c>
    </row>
    <row r="29" spans="2:25" x14ac:dyDescent="0.2">
      <c r="B29" s="29"/>
      <c r="K29" s="13" t="s">
        <v>30</v>
      </c>
      <c r="L29" s="9" t="s">
        <v>311</v>
      </c>
      <c r="M29" s="9">
        <v>0.78879308700561501</v>
      </c>
      <c r="N29" s="9">
        <v>0.85129314661026001</v>
      </c>
      <c r="O29" s="9">
        <v>0.84698271751403797</v>
      </c>
      <c r="P29" s="9">
        <v>0.85775864124298096</v>
      </c>
      <c r="Q29" s="9">
        <v>0.82974135875701904</v>
      </c>
      <c r="R29" s="15">
        <f t="shared" si="4"/>
        <v>0.83491379022598267</v>
      </c>
      <c r="S29" s="15">
        <f t="shared" si="5"/>
        <v>2.7792547797380582E-2</v>
      </c>
      <c r="T29" s="15"/>
      <c r="U29" s="15"/>
      <c r="W29" s="20">
        <v>0.65</v>
      </c>
      <c r="X29" s="20">
        <f>AVERAGE(R56:R58)</f>
        <v>0.20416666766007732</v>
      </c>
      <c r="Y29" s="20">
        <f>AVERAGE(S56:S58)</f>
        <v>5.0542682647897831E-2</v>
      </c>
    </row>
    <row r="30" spans="2:25" x14ac:dyDescent="0.2">
      <c r="B30" s="29"/>
      <c r="K30" s="13" t="s">
        <v>31</v>
      </c>
      <c r="L30" s="9" t="s">
        <v>312</v>
      </c>
      <c r="M30" s="9">
        <v>0.75669646263122503</v>
      </c>
      <c r="N30" s="9">
        <v>0.72991073131561202</v>
      </c>
      <c r="O30" s="9">
        <v>0.89955359697341897</v>
      </c>
      <c r="P30" s="9">
        <v>0.77232146263122503</v>
      </c>
      <c r="Q30" s="9">
        <v>0.859374940395355</v>
      </c>
      <c r="R30" s="15">
        <f t="shared" si="4"/>
        <v>0.8035714387893671</v>
      </c>
      <c r="S30" s="15">
        <f t="shared" si="5"/>
        <v>7.2329678739786352E-2</v>
      </c>
      <c r="T30" s="15"/>
      <c r="U30" s="15"/>
      <c r="W30" s="20">
        <v>0.7</v>
      </c>
      <c r="X30" s="20">
        <f>AVERAGE(R59:R61)</f>
        <v>0.40277778456608426</v>
      </c>
      <c r="Y30" s="20">
        <f>AVERAGE(S59:S61)</f>
        <v>0.15555232717309128</v>
      </c>
    </row>
    <row r="31" spans="2:25" x14ac:dyDescent="0.2">
      <c r="B31" s="29"/>
      <c r="K31" s="13" t="s">
        <v>32</v>
      </c>
      <c r="L31" s="9" t="s">
        <v>313</v>
      </c>
      <c r="M31" s="9">
        <v>0.85677087306976296</v>
      </c>
      <c r="N31" s="9" t="s">
        <v>314</v>
      </c>
      <c r="O31" s="9">
        <v>0.80729168653488104</v>
      </c>
      <c r="P31" s="9">
        <v>0.828125</v>
      </c>
      <c r="Q31" s="9">
        <v>0.84114587306976296</v>
      </c>
      <c r="R31" s="15">
        <f t="shared" si="4"/>
        <v>0.83333335816860177</v>
      </c>
      <c r="S31" s="15">
        <f t="shared" si="5"/>
        <v>2.094157069971905E-2</v>
      </c>
      <c r="T31" s="15"/>
      <c r="U31" s="15"/>
      <c r="W31" s="20">
        <v>0.75</v>
      </c>
      <c r="X31" s="20">
        <f>AVERAGE(R62:R64)</f>
        <v>0.21333333849906908</v>
      </c>
      <c r="Y31" s="20">
        <f>AVERAGE(S62:S64)</f>
        <v>5.5777335339742468E-2</v>
      </c>
    </row>
    <row r="32" spans="2:25" x14ac:dyDescent="0.2">
      <c r="K32" s="13" t="s">
        <v>33</v>
      </c>
      <c r="L32" s="9" t="s">
        <v>315</v>
      </c>
      <c r="M32" s="9" t="s">
        <v>316</v>
      </c>
      <c r="N32" s="9">
        <v>0.30092591047286898</v>
      </c>
      <c r="O32" s="9">
        <v>0.15277777612209301</v>
      </c>
      <c r="P32" s="9">
        <v>0.25925925374031</v>
      </c>
      <c r="Q32" s="9">
        <v>0.143518507480621</v>
      </c>
      <c r="R32" s="15">
        <f t="shared" si="4"/>
        <v>0.21412036195397324</v>
      </c>
      <c r="S32" s="15">
        <f t="shared" si="5"/>
        <v>7.8145713247716464E-2</v>
      </c>
      <c r="T32" s="15"/>
      <c r="U32" s="16"/>
      <c r="W32" s="20">
        <v>0.8</v>
      </c>
      <c r="X32" s="20" t="e">
        <f>AVERAGE(R65:R67)</f>
        <v>#DIV/0!</v>
      </c>
      <c r="Y32" s="20" t="e">
        <f>AVERAGE(S65:S67)</f>
        <v>#DIV/0!</v>
      </c>
    </row>
    <row r="33" spans="11:25" x14ac:dyDescent="0.2">
      <c r="K33" s="13" t="s">
        <v>34</v>
      </c>
      <c r="L33" s="9" t="s">
        <v>317</v>
      </c>
      <c r="M33" s="9">
        <v>0.81363642215728704</v>
      </c>
      <c r="N33" s="9">
        <v>0.79999995231628396</v>
      </c>
      <c r="O33" s="9" t="s">
        <v>318</v>
      </c>
      <c r="P33" s="9">
        <v>0.80909097194671598</v>
      </c>
      <c r="Q33" s="9">
        <v>0.75909090042114202</v>
      </c>
      <c r="R33" s="15">
        <f t="shared" si="4"/>
        <v>0.79545456171035722</v>
      </c>
      <c r="S33" s="15">
        <f t="shared" si="5"/>
        <v>2.489650692743272E-2</v>
      </c>
      <c r="T33" s="15"/>
      <c r="U33" s="16"/>
      <c r="W33" s="20">
        <v>0.85</v>
      </c>
      <c r="X33" s="20" t="e">
        <f>AVERAGE(R68:R70)</f>
        <v>#DIV/0!</v>
      </c>
      <c r="Y33" s="20" t="e">
        <f>AVERAGE(S68:S70)</f>
        <v>#DIV/0!</v>
      </c>
    </row>
    <row r="34" spans="11:25" x14ac:dyDescent="0.2">
      <c r="K34" s="13" t="s">
        <v>35</v>
      </c>
      <c r="L34" s="9" t="s">
        <v>101</v>
      </c>
      <c r="M34" s="9">
        <v>0.74814814329147294</v>
      </c>
      <c r="N34" s="9">
        <v>0.992592573165893</v>
      </c>
      <c r="O34" s="9">
        <v>0.97037041187286299</v>
      </c>
      <c r="P34" s="9">
        <v>0.992592573165893</v>
      </c>
      <c r="Q34" s="9">
        <v>0.96296298503875699</v>
      </c>
      <c r="R34" s="15">
        <f t="shared" si="4"/>
        <v>0.93333333730697576</v>
      </c>
      <c r="S34" s="15">
        <f t="shared" si="5"/>
        <v>0.10436298561850549</v>
      </c>
      <c r="T34" s="15"/>
      <c r="U34" s="15"/>
      <c r="W34" s="20">
        <v>0.9</v>
      </c>
      <c r="X34" s="20" t="e">
        <f>AVERAGE(R71:R73)</f>
        <v>#DIV/0!</v>
      </c>
      <c r="Y34" s="20" t="e">
        <f>AVERAGE(S71:S73)</f>
        <v>#DIV/0!</v>
      </c>
    </row>
    <row r="35" spans="11:25" x14ac:dyDescent="0.2">
      <c r="K35" s="13" t="s">
        <v>36</v>
      </c>
      <c r="L35" s="9" t="s">
        <v>319</v>
      </c>
      <c r="M35" s="9">
        <v>0.78999996185302701</v>
      </c>
      <c r="N35" s="9">
        <v>0.81999999284744196</v>
      </c>
      <c r="O35" s="9">
        <v>0.77999997138976995</v>
      </c>
      <c r="P35" s="9">
        <v>0.83000004291534402</v>
      </c>
      <c r="Q35" s="9">
        <v>0.77999997138976995</v>
      </c>
      <c r="R35" s="15">
        <f t="shared" si="4"/>
        <v>0.79999998807907058</v>
      </c>
      <c r="S35" s="15">
        <f t="shared" si="5"/>
        <v>2.3452107264489354E-2</v>
      </c>
      <c r="T35" s="15"/>
      <c r="U35" s="15"/>
      <c r="W35" s="20">
        <v>0.95</v>
      </c>
      <c r="X35" s="20" t="e">
        <f>AVERAGE(R74:R76)</f>
        <v>#DIV/0!</v>
      </c>
      <c r="Y35" s="20" t="e">
        <f>AVERAGE(S74:S76)</f>
        <v>#DIV/0!</v>
      </c>
    </row>
    <row r="36" spans="11:25" x14ac:dyDescent="0.2">
      <c r="K36" s="13" t="s">
        <v>37</v>
      </c>
      <c r="L36" s="9" t="s">
        <v>320</v>
      </c>
      <c r="M36" s="9">
        <v>0.227272719144821</v>
      </c>
      <c r="N36" s="9">
        <v>0.98181819915771396</v>
      </c>
      <c r="O36" s="9">
        <v>0.98181819915771396</v>
      </c>
      <c r="P36" s="9">
        <v>0.227272719144821</v>
      </c>
      <c r="Q36" s="9">
        <v>0.85454547405242898</v>
      </c>
      <c r="R36" s="15">
        <f t="shared" si="4"/>
        <v>0.65454546213149989</v>
      </c>
      <c r="S36" s="15">
        <f t="shared" si="5"/>
        <v>0.39349043424470664</v>
      </c>
      <c r="T36" s="15"/>
      <c r="U36" s="15"/>
      <c r="W36" s="20">
        <v>1</v>
      </c>
      <c r="X36" s="20" t="e">
        <f>AVERAGE(R77:R79)</f>
        <v>#DIV/0!</v>
      </c>
      <c r="Y36" s="20" t="e">
        <f>AVERAGE(S77:S79)</f>
        <v>#DIV/0!</v>
      </c>
    </row>
    <row r="37" spans="11:25" x14ac:dyDescent="0.2">
      <c r="K37" s="13" t="s">
        <v>38</v>
      </c>
      <c r="L37" s="9" t="s">
        <v>321</v>
      </c>
      <c r="M37" s="9">
        <v>0.240740746259689</v>
      </c>
      <c r="N37" s="9">
        <v>0.30864197015762301</v>
      </c>
      <c r="O37" s="9">
        <v>0.20370370149612399</v>
      </c>
      <c r="P37" s="9">
        <v>0.228395074605941</v>
      </c>
      <c r="Q37" s="9">
        <v>0.234567910432815</v>
      </c>
      <c r="R37" s="15">
        <f t="shared" si="4"/>
        <v>0.24320988059043841</v>
      </c>
      <c r="S37" s="15">
        <f t="shared" si="5"/>
        <v>3.9186589800169272E-2</v>
      </c>
      <c r="T37" s="15"/>
      <c r="U37" s="15"/>
    </row>
    <row r="38" spans="11:25" x14ac:dyDescent="0.2">
      <c r="K38" s="13" t="s">
        <v>39</v>
      </c>
      <c r="L38" s="9" t="s">
        <v>322</v>
      </c>
      <c r="M38" s="9">
        <v>0.701754391193389</v>
      </c>
      <c r="N38" s="9">
        <v>0.45614033937454201</v>
      </c>
      <c r="O38" s="9">
        <v>0.38596490025520303</v>
      </c>
      <c r="P38" s="9">
        <v>0.75438594818115201</v>
      </c>
      <c r="Q38" s="9">
        <v>0.50877189636230402</v>
      </c>
      <c r="R38" s="15">
        <f t="shared" si="4"/>
        <v>0.56140349507331799</v>
      </c>
      <c r="S38" s="15">
        <f t="shared" si="5"/>
        <v>0.15935002269494758</v>
      </c>
      <c r="T38" s="15"/>
      <c r="U38" s="15"/>
      <c r="V38" s="33"/>
    </row>
    <row r="39" spans="11:25" x14ac:dyDescent="0.2">
      <c r="K39" s="13" t="s">
        <v>40</v>
      </c>
      <c r="L39" s="9" t="s">
        <v>323</v>
      </c>
      <c r="M39" s="9">
        <v>0.36874997615814198</v>
      </c>
      <c r="N39" s="9">
        <v>0.64374995231628396</v>
      </c>
      <c r="O39" s="9">
        <v>0.499999970197677</v>
      </c>
      <c r="P39" s="9">
        <v>0.58749997615814198</v>
      </c>
      <c r="Q39" s="9">
        <v>0.59999996423721302</v>
      </c>
      <c r="R39" s="15">
        <f t="shared" si="4"/>
        <v>0.53999996781349158</v>
      </c>
      <c r="S39" s="15">
        <f t="shared" si="5"/>
        <v>0.10902622287681664</v>
      </c>
      <c r="T39" s="15"/>
      <c r="U39" s="15"/>
    </row>
    <row r="40" spans="11:25" x14ac:dyDescent="0.2">
      <c r="K40" s="13" t="s">
        <v>41</v>
      </c>
      <c r="L40" s="9" t="s">
        <v>233</v>
      </c>
      <c r="M40" s="9">
        <v>0.79807686805725098</v>
      </c>
      <c r="N40" s="9">
        <v>0.73076927661895696</v>
      </c>
      <c r="O40" s="9">
        <v>0.74038463830947798</v>
      </c>
      <c r="P40" s="9">
        <v>0.84615385532379095</v>
      </c>
      <c r="Q40" s="9">
        <v>0.75961542129516602</v>
      </c>
      <c r="R40" s="15">
        <f t="shared" si="4"/>
        <v>0.7750000119209286</v>
      </c>
      <c r="S40" s="15">
        <f t="shared" si="5"/>
        <v>4.739904636295774E-2</v>
      </c>
      <c r="T40" s="15"/>
      <c r="U40" s="15"/>
    </row>
    <row r="41" spans="11:25" x14ac:dyDescent="0.2">
      <c r="K41" s="13" t="s">
        <v>42</v>
      </c>
      <c r="L41" s="9" t="s">
        <v>324</v>
      </c>
      <c r="M41" s="9">
        <v>0.80769228935241699</v>
      </c>
      <c r="N41" s="9">
        <v>0.115384615957736</v>
      </c>
      <c r="O41" s="9">
        <v>7.6923079788684803E-2</v>
      </c>
      <c r="P41" s="9">
        <v>5.7692307978868401E-2</v>
      </c>
      <c r="Q41" s="9">
        <v>0.115384615957736</v>
      </c>
      <c r="R41" s="15">
        <f t="shared" si="4"/>
        <v>0.23461538180708846</v>
      </c>
      <c r="S41" s="15">
        <f t="shared" si="5"/>
        <v>0.32133227708263773</v>
      </c>
      <c r="T41" s="15"/>
      <c r="U41" s="16"/>
    </row>
    <row r="42" spans="11:25" x14ac:dyDescent="0.2">
      <c r="K42" s="13" t="s">
        <v>43</v>
      </c>
      <c r="L42" s="9" t="s">
        <v>325</v>
      </c>
      <c r="M42" s="9">
        <v>0.9375</v>
      </c>
      <c r="N42" s="9">
        <v>0.9375</v>
      </c>
      <c r="O42" s="9">
        <v>0.9375</v>
      </c>
      <c r="P42" s="9">
        <v>0.9375</v>
      </c>
      <c r="Q42" s="9">
        <v>0.9375</v>
      </c>
      <c r="R42" s="15">
        <f t="shared" si="4"/>
        <v>0.9375</v>
      </c>
      <c r="S42" s="15">
        <f t="shared" si="5"/>
        <v>0</v>
      </c>
      <c r="T42" s="9" t="s">
        <v>297</v>
      </c>
      <c r="U42" s="16"/>
    </row>
    <row r="43" spans="11:25" x14ac:dyDescent="0.2">
      <c r="K43" s="13" t="s">
        <v>44</v>
      </c>
      <c r="L43" s="9" t="s">
        <v>326</v>
      </c>
      <c r="M43" s="9">
        <v>0.73809522390365601</v>
      </c>
      <c r="N43" s="9">
        <v>1</v>
      </c>
      <c r="O43" s="9">
        <v>0.26190477609634399</v>
      </c>
      <c r="P43" s="9">
        <v>0.80952382087707497</v>
      </c>
      <c r="Q43" s="9">
        <v>0.95238095521926802</v>
      </c>
      <c r="R43" s="15">
        <f t="shared" si="4"/>
        <v>0.75238095521926862</v>
      </c>
      <c r="S43" s="15">
        <f t="shared" si="5"/>
        <v>0.29383305755137262</v>
      </c>
      <c r="T43" s="15"/>
      <c r="U43" s="16"/>
    </row>
    <row r="44" spans="11:25" x14ac:dyDescent="0.2">
      <c r="K44" s="13" t="s">
        <v>45</v>
      </c>
      <c r="L44" s="9" t="s">
        <v>327</v>
      </c>
      <c r="M44" s="9">
        <v>0.41666665673255898</v>
      </c>
      <c r="N44" s="9">
        <v>1</v>
      </c>
      <c r="O44" s="9">
        <v>0.25</v>
      </c>
      <c r="P44" s="9">
        <v>0.16666667163372001</v>
      </c>
      <c r="Q44" s="9">
        <v>0.95833337306976296</v>
      </c>
      <c r="R44" s="15">
        <f t="shared" si="4"/>
        <v>0.55833334028720838</v>
      </c>
      <c r="S44" s="15">
        <f t="shared" si="5"/>
        <v>0.39484526773916806</v>
      </c>
      <c r="T44" s="15"/>
      <c r="U44" s="15"/>
    </row>
    <row r="45" spans="11:25" x14ac:dyDescent="0.2">
      <c r="K45" s="13" t="s">
        <v>46</v>
      </c>
      <c r="L45" s="9" t="s">
        <v>236</v>
      </c>
      <c r="M45" s="9">
        <v>0.74000000953674305</v>
      </c>
      <c r="N45" s="9">
        <v>0.70999997854232699</v>
      </c>
      <c r="O45" s="9">
        <v>0.74000000953674305</v>
      </c>
      <c r="P45" s="9">
        <v>0.77999997138976995</v>
      </c>
      <c r="Q45" s="9">
        <v>0.75</v>
      </c>
      <c r="R45" s="15">
        <f t="shared" si="4"/>
        <v>0.7439999938011167</v>
      </c>
      <c r="S45" s="15">
        <f t="shared" si="5"/>
        <v>2.5099797043993111E-2</v>
      </c>
      <c r="T45" s="15"/>
      <c r="U45" s="15"/>
    </row>
    <row r="46" spans="11:25" x14ac:dyDescent="0.2">
      <c r="K46" s="13" t="s">
        <v>47</v>
      </c>
      <c r="L46" s="9" t="s">
        <v>146</v>
      </c>
      <c r="M46" s="9">
        <v>0.56000000238418501</v>
      </c>
      <c r="N46" s="9">
        <v>0.33999997377395602</v>
      </c>
      <c r="O46" s="9">
        <v>0.5</v>
      </c>
      <c r="P46" s="9">
        <v>0.33999997377395602</v>
      </c>
      <c r="Q46" s="9">
        <v>0.37999996542930597</v>
      </c>
      <c r="R46" s="15">
        <f t="shared" si="4"/>
        <v>0.4239999830722806</v>
      </c>
      <c r="S46" s="15">
        <f t="shared" si="5"/>
        <v>0.10039921875028603</v>
      </c>
      <c r="T46" s="15"/>
      <c r="U46" s="15"/>
    </row>
    <row r="47" spans="11:25" x14ac:dyDescent="0.2">
      <c r="K47" s="13" t="s">
        <v>48</v>
      </c>
      <c r="L47" s="9" t="s">
        <v>124</v>
      </c>
      <c r="M47" s="9">
        <v>0.375</v>
      </c>
      <c r="N47" s="9">
        <v>0.59375</v>
      </c>
      <c r="O47" s="9">
        <v>0.71875</v>
      </c>
      <c r="P47" s="9">
        <v>0.46875</v>
      </c>
      <c r="Q47" s="9">
        <v>0.59375</v>
      </c>
      <c r="R47" s="15">
        <f t="shared" si="4"/>
        <v>0.55000000000000004</v>
      </c>
      <c r="S47" s="15">
        <f t="shared" si="5"/>
        <v>0.13184389443580621</v>
      </c>
      <c r="T47" s="15"/>
      <c r="U47" s="15"/>
    </row>
    <row r="48" spans="11:25" x14ac:dyDescent="0.2">
      <c r="K48" s="13" t="s">
        <v>49</v>
      </c>
      <c r="L48" s="9" t="s">
        <v>328</v>
      </c>
      <c r="M48" s="9">
        <v>0.5</v>
      </c>
      <c r="N48" s="9">
        <v>0.80000001192092896</v>
      </c>
      <c r="O48" s="9">
        <v>0.80000001192092896</v>
      </c>
      <c r="P48" s="9">
        <v>0.80000001192092896</v>
      </c>
      <c r="Q48" s="9">
        <v>0.69999998807907104</v>
      </c>
      <c r="R48" s="15">
        <f t="shared" si="4"/>
        <v>0.72000000476837156</v>
      </c>
      <c r="S48" s="15">
        <f t="shared" si="5"/>
        <v>0.1303840540469613</v>
      </c>
      <c r="T48" s="15"/>
      <c r="U48" s="15"/>
    </row>
    <row r="49" spans="11:21" x14ac:dyDescent="0.2">
      <c r="K49" s="13" t="s">
        <v>50</v>
      </c>
      <c r="L49" s="9" t="s">
        <v>329</v>
      </c>
      <c r="M49" s="9">
        <v>0.33333331346511802</v>
      </c>
      <c r="N49" s="9">
        <v>0.46666666865348799</v>
      </c>
      <c r="O49" s="9">
        <v>0.40000003576278598</v>
      </c>
      <c r="P49" s="9">
        <v>0.266666680574417</v>
      </c>
      <c r="Q49" s="9">
        <v>0.33333334326744002</v>
      </c>
      <c r="R49" s="15">
        <f t="shared" si="4"/>
        <v>0.36000000834464985</v>
      </c>
      <c r="S49" s="15">
        <f t="shared" si="5"/>
        <v>7.6011697010552964E-2</v>
      </c>
      <c r="T49" s="15"/>
      <c r="U49" s="15"/>
    </row>
    <row r="50" spans="11:21" x14ac:dyDescent="0.2">
      <c r="K50" s="13" t="s">
        <v>51</v>
      </c>
      <c r="L50" s="9" t="s">
        <v>125</v>
      </c>
      <c r="M50" s="9">
        <v>0.25</v>
      </c>
      <c r="N50" s="9">
        <v>0.53125</v>
      </c>
      <c r="O50" s="9">
        <v>0.25</v>
      </c>
      <c r="P50" s="9">
        <v>0.5625</v>
      </c>
      <c r="Q50" s="9">
        <v>0.25</v>
      </c>
      <c r="R50" s="15">
        <f t="shared" si="4"/>
        <v>0.36875000000000002</v>
      </c>
      <c r="S50" s="15">
        <f t="shared" si="5"/>
        <v>0.16298006013006619</v>
      </c>
      <c r="T50" s="15"/>
      <c r="U50" s="15"/>
    </row>
    <row r="51" spans="11:21" x14ac:dyDescent="0.2">
      <c r="K51" s="13" t="s">
        <v>52</v>
      </c>
      <c r="L51" s="9" t="s">
        <v>127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15">
        <f t="shared" si="4"/>
        <v>0</v>
      </c>
      <c r="S51" s="15">
        <f t="shared" si="5"/>
        <v>0</v>
      </c>
      <c r="T51" s="15"/>
      <c r="U51" s="15"/>
    </row>
    <row r="52" spans="11:21" x14ac:dyDescent="0.2">
      <c r="K52" s="13" t="s">
        <v>53</v>
      </c>
      <c r="L52" s="9" t="s">
        <v>126</v>
      </c>
      <c r="M52" s="9">
        <v>1</v>
      </c>
      <c r="N52" s="9">
        <v>1</v>
      </c>
      <c r="O52" s="9">
        <v>1</v>
      </c>
      <c r="P52" s="9">
        <v>1</v>
      </c>
      <c r="Q52" s="9">
        <v>1</v>
      </c>
      <c r="R52" s="15">
        <f t="shared" si="4"/>
        <v>1</v>
      </c>
      <c r="S52" s="15">
        <f t="shared" si="5"/>
        <v>0</v>
      </c>
      <c r="T52" s="15" t="s">
        <v>200</v>
      </c>
      <c r="U52" s="15"/>
    </row>
    <row r="53" spans="11:21" x14ac:dyDescent="0.2">
      <c r="K53" s="13" t="s">
        <v>54</v>
      </c>
      <c r="L53" s="9" t="s">
        <v>130</v>
      </c>
      <c r="M53" s="9">
        <v>0.25</v>
      </c>
      <c r="N53" s="9">
        <v>0.125</v>
      </c>
      <c r="O53" s="9">
        <v>1</v>
      </c>
      <c r="P53" s="9">
        <v>1</v>
      </c>
      <c r="Q53" s="9">
        <v>0</v>
      </c>
      <c r="R53" s="15">
        <f t="shared" si="4"/>
        <v>0.47499999999999998</v>
      </c>
      <c r="S53" s="15">
        <f t="shared" si="5"/>
        <v>0.48733971724044817</v>
      </c>
      <c r="T53" s="16" t="s">
        <v>202</v>
      </c>
      <c r="U53" s="15"/>
    </row>
    <row r="54" spans="11:21" x14ac:dyDescent="0.2">
      <c r="K54" s="13" t="s">
        <v>55</v>
      </c>
      <c r="L54" s="9" t="s">
        <v>330</v>
      </c>
      <c r="M54" s="9">
        <v>0.28571429848670898</v>
      </c>
      <c r="N54" s="9">
        <v>0.28571429848670898</v>
      </c>
      <c r="O54" s="9">
        <v>0.28571426868438698</v>
      </c>
      <c r="P54" s="9">
        <v>0.21428571641445099</v>
      </c>
      <c r="Q54" s="9">
        <v>0.42857140302657998</v>
      </c>
      <c r="R54" s="15">
        <f t="shared" si="4"/>
        <v>0.29999999701976721</v>
      </c>
      <c r="S54" s="15">
        <f t="shared" si="5"/>
        <v>7.8246068178347894E-2</v>
      </c>
      <c r="T54" s="15"/>
      <c r="U54" s="15"/>
    </row>
    <row r="55" spans="11:21" x14ac:dyDescent="0.2">
      <c r="K55" s="13" t="s">
        <v>56</v>
      </c>
      <c r="L55" s="9" t="s">
        <v>195</v>
      </c>
      <c r="M55" s="9">
        <v>0.41666665673255898</v>
      </c>
      <c r="N55" s="9">
        <v>0</v>
      </c>
      <c r="O55" s="9">
        <v>0.41666665673255898</v>
      </c>
      <c r="P55" s="9">
        <v>0</v>
      </c>
      <c r="Q55" s="9">
        <v>0.66666662693023604</v>
      </c>
      <c r="R55" s="15">
        <f t="shared" si="4"/>
        <v>0.2999999880790708</v>
      </c>
      <c r="S55" s="15">
        <f t="shared" si="5"/>
        <v>0.29226128416654068</v>
      </c>
      <c r="T55" s="15"/>
      <c r="U55" s="15"/>
    </row>
    <row r="56" spans="11:21" x14ac:dyDescent="0.2">
      <c r="K56" s="13" t="s">
        <v>57</v>
      </c>
      <c r="L56" s="9" t="s">
        <v>134</v>
      </c>
      <c r="M56" s="9">
        <v>0.375</v>
      </c>
      <c r="N56" s="9">
        <v>0.5</v>
      </c>
      <c r="O56" s="9">
        <v>0.375</v>
      </c>
      <c r="P56" s="9">
        <v>0.3125</v>
      </c>
      <c r="Q56" s="9">
        <v>0.25</v>
      </c>
      <c r="R56" s="15">
        <f t="shared" si="4"/>
        <v>0.36249999999999999</v>
      </c>
      <c r="S56" s="15">
        <f t="shared" si="5"/>
        <v>9.2702481088695846E-2</v>
      </c>
      <c r="T56" s="15"/>
      <c r="U56" s="15"/>
    </row>
    <row r="57" spans="11:21" x14ac:dyDescent="0.2">
      <c r="K57" s="13" t="s">
        <v>58</v>
      </c>
      <c r="L57" s="9" t="s">
        <v>131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15">
        <f t="shared" si="4"/>
        <v>0</v>
      </c>
      <c r="S57" s="15">
        <f t="shared" si="5"/>
        <v>0</v>
      </c>
      <c r="T57" s="15"/>
      <c r="U57" s="15"/>
    </row>
    <row r="58" spans="11:21" x14ac:dyDescent="0.2">
      <c r="K58" s="13" t="s">
        <v>59</v>
      </c>
      <c r="L58" s="9" t="s">
        <v>242</v>
      </c>
      <c r="M58" s="9">
        <v>0.25</v>
      </c>
      <c r="N58" s="9">
        <v>0.16666667163372001</v>
      </c>
      <c r="O58" s="9">
        <v>0.33333334326744002</v>
      </c>
      <c r="P58" s="9">
        <v>0.25</v>
      </c>
      <c r="Q58" s="9">
        <v>0.25</v>
      </c>
      <c r="R58" s="15">
        <f t="shared" si="4"/>
        <v>0.25000000298023201</v>
      </c>
      <c r="S58" s="15">
        <f t="shared" si="5"/>
        <v>5.8925566854997648E-2</v>
      </c>
      <c r="T58" s="15"/>
      <c r="U58" s="15"/>
    </row>
    <row r="59" spans="11:21" x14ac:dyDescent="0.2">
      <c r="K59" s="13" t="s">
        <v>60</v>
      </c>
      <c r="L59" s="9" t="s">
        <v>197</v>
      </c>
      <c r="M59" s="9">
        <v>0.625</v>
      </c>
      <c r="N59" s="9">
        <v>0.375</v>
      </c>
      <c r="O59" s="9">
        <v>0.25</v>
      </c>
      <c r="P59" s="9">
        <v>0.375</v>
      </c>
      <c r="Q59" s="9">
        <v>0.25</v>
      </c>
      <c r="R59" s="15">
        <f t="shared" si="4"/>
        <v>0.375</v>
      </c>
      <c r="S59" s="15">
        <f t="shared" si="5"/>
        <v>0.15309310892394862</v>
      </c>
      <c r="T59" s="16"/>
      <c r="U59" s="15"/>
    </row>
    <row r="60" spans="11:21" x14ac:dyDescent="0.2">
      <c r="K60" s="13" t="s">
        <v>61</v>
      </c>
      <c r="L60" s="9" t="s">
        <v>133</v>
      </c>
      <c r="M60" s="9">
        <v>0.33333334326744002</v>
      </c>
      <c r="N60" s="9">
        <v>0.33333334326744002</v>
      </c>
      <c r="O60" s="9">
        <v>0.55555558204650801</v>
      </c>
      <c r="P60" s="9">
        <v>0.55555558204650801</v>
      </c>
      <c r="Q60" s="9">
        <v>0.55555558204650801</v>
      </c>
      <c r="R60" s="15">
        <f t="shared" si="4"/>
        <v>0.4666666865348808</v>
      </c>
      <c r="S60" s="15">
        <f t="shared" si="5"/>
        <v>0.1217161329585951</v>
      </c>
      <c r="T60" s="15"/>
      <c r="U60" s="15"/>
    </row>
    <row r="61" spans="11:21" x14ac:dyDescent="0.2">
      <c r="K61" s="13" t="s">
        <v>62</v>
      </c>
      <c r="L61" s="9" t="s">
        <v>136</v>
      </c>
      <c r="M61" s="9">
        <v>0.5</v>
      </c>
      <c r="N61" s="9">
        <v>0.5</v>
      </c>
      <c r="O61" s="9">
        <v>0.5</v>
      </c>
      <c r="P61" s="9">
        <v>8.3333335816860199E-2</v>
      </c>
      <c r="Q61" s="9">
        <v>0.25</v>
      </c>
      <c r="R61" s="15">
        <f t="shared" si="4"/>
        <v>0.36666666716337204</v>
      </c>
      <c r="S61" s="15">
        <f t="shared" si="5"/>
        <v>0.1918477396367301</v>
      </c>
      <c r="T61" s="15"/>
      <c r="U61" s="15"/>
    </row>
    <row r="62" spans="11:21" x14ac:dyDescent="0.2">
      <c r="K62" s="13" t="s">
        <v>63</v>
      </c>
      <c r="L62" s="9" t="s">
        <v>137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15">
        <f t="shared" si="4"/>
        <v>0</v>
      </c>
      <c r="S62" s="15">
        <f t="shared" si="5"/>
        <v>0</v>
      </c>
      <c r="T62" s="15"/>
      <c r="U62" s="16"/>
    </row>
    <row r="63" spans="11:21" x14ac:dyDescent="0.2">
      <c r="K63" s="13" t="s">
        <v>64</v>
      </c>
      <c r="L63" s="9" t="s">
        <v>137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15">
        <f t="shared" si="4"/>
        <v>0</v>
      </c>
      <c r="S63" s="15">
        <f t="shared" si="5"/>
        <v>0</v>
      </c>
      <c r="T63" s="9" t="s">
        <v>297</v>
      </c>
      <c r="U63" s="15"/>
    </row>
    <row r="64" spans="11:21" x14ac:dyDescent="0.2">
      <c r="K64" s="13" t="s">
        <v>65</v>
      </c>
      <c r="L64" s="9" t="s">
        <v>139</v>
      </c>
      <c r="M64" s="9">
        <v>0.80000001192092896</v>
      </c>
      <c r="N64" s="9">
        <v>0.80000001192092896</v>
      </c>
      <c r="O64" s="9">
        <v>0.60000002384185702</v>
      </c>
      <c r="P64" s="9">
        <v>0.60000002384185702</v>
      </c>
      <c r="Q64" s="9">
        <v>0.40000000596046398</v>
      </c>
      <c r="R64" s="15">
        <f t="shared" si="4"/>
        <v>0.6400000154972072</v>
      </c>
      <c r="S64" s="15">
        <f t="shared" si="5"/>
        <v>0.1673320060192274</v>
      </c>
      <c r="T64" s="15"/>
      <c r="U64" s="15"/>
    </row>
    <row r="65" spans="11:21" x14ac:dyDescent="0.2">
      <c r="K65" s="13" t="s">
        <v>66</v>
      </c>
      <c r="L65" s="9" t="s">
        <v>204</v>
      </c>
      <c r="M65" s="15"/>
      <c r="N65" s="15"/>
      <c r="O65" s="15"/>
      <c r="P65" s="15"/>
      <c r="Q65" s="15"/>
      <c r="R65" s="15" t="e">
        <f t="shared" si="4"/>
        <v>#DIV/0!</v>
      </c>
      <c r="S65" s="15" t="e">
        <f t="shared" si="5"/>
        <v>#DIV/0!</v>
      </c>
      <c r="T65" s="15"/>
      <c r="U65" s="15"/>
    </row>
    <row r="66" spans="11:21" x14ac:dyDescent="0.2">
      <c r="K66" s="13" t="s">
        <v>67</v>
      </c>
      <c r="L66" s="9" t="s">
        <v>201</v>
      </c>
      <c r="M66" s="16"/>
      <c r="N66" s="15"/>
      <c r="O66" s="15"/>
      <c r="P66" s="15"/>
      <c r="Q66" s="15"/>
      <c r="R66" s="15" t="e">
        <f t="shared" si="4"/>
        <v>#DIV/0!</v>
      </c>
      <c r="S66" s="15" t="e">
        <f t="shared" si="5"/>
        <v>#DIV/0!</v>
      </c>
      <c r="T66" s="15"/>
      <c r="U66" s="15"/>
    </row>
    <row r="67" spans="11:21" x14ac:dyDescent="0.2">
      <c r="K67" s="13" t="s">
        <v>68</v>
      </c>
      <c r="L67" s="9" t="s">
        <v>201</v>
      </c>
      <c r="M67" s="15"/>
      <c r="N67" s="15"/>
      <c r="O67" s="15"/>
      <c r="P67" s="15"/>
      <c r="Q67" s="15"/>
      <c r="R67" s="15" t="e">
        <f t="shared" si="4"/>
        <v>#DIV/0!</v>
      </c>
      <c r="S67" s="15" t="e">
        <f t="shared" si="5"/>
        <v>#DIV/0!</v>
      </c>
      <c r="T67" s="15"/>
      <c r="U67" s="15"/>
    </row>
    <row r="68" spans="11:21" x14ac:dyDescent="0.2">
      <c r="K68" s="13" t="s">
        <v>69</v>
      </c>
      <c r="L68" s="9" t="s">
        <v>205</v>
      </c>
      <c r="M68" s="15"/>
      <c r="N68" s="15"/>
      <c r="O68" s="15"/>
      <c r="P68" s="15"/>
      <c r="Q68" s="15"/>
      <c r="R68" s="15" t="e">
        <f t="shared" si="4"/>
        <v>#DIV/0!</v>
      </c>
      <c r="S68" s="15" t="e">
        <f t="shared" si="5"/>
        <v>#DIV/0!</v>
      </c>
      <c r="T68" s="15"/>
      <c r="U68" s="15"/>
    </row>
    <row r="69" spans="11:21" x14ac:dyDescent="0.2">
      <c r="K69" s="13" t="s">
        <v>70</v>
      </c>
      <c r="L69" s="16"/>
      <c r="M69" s="15"/>
      <c r="N69" s="15"/>
      <c r="O69" s="15"/>
      <c r="P69" s="15"/>
      <c r="Q69" s="15"/>
      <c r="R69" s="15" t="e">
        <f t="shared" si="4"/>
        <v>#DIV/0!</v>
      </c>
      <c r="S69" s="15" t="e">
        <f t="shared" si="5"/>
        <v>#DIV/0!</v>
      </c>
      <c r="T69" s="16"/>
      <c r="U69" s="15"/>
    </row>
    <row r="70" spans="11:21" x14ac:dyDescent="0.2">
      <c r="K70" s="13" t="s">
        <v>71</v>
      </c>
      <c r="L70" s="16"/>
      <c r="M70" s="15"/>
      <c r="N70" s="15"/>
      <c r="O70" s="15"/>
      <c r="P70" s="15"/>
      <c r="Q70" s="15"/>
      <c r="R70" s="15" t="e">
        <f t="shared" si="4"/>
        <v>#DIV/0!</v>
      </c>
      <c r="S70" s="15" t="e">
        <f t="shared" si="5"/>
        <v>#DIV/0!</v>
      </c>
      <c r="T70" s="15"/>
      <c r="U70" s="15"/>
    </row>
    <row r="71" spans="11:21" x14ac:dyDescent="0.2">
      <c r="K71" s="13" t="s">
        <v>72</v>
      </c>
      <c r="L71" s="16"/>
      <c r="M71" s="15"/>
      <c r="N71" s="15"/>
      <c r="O71" s="15"/>
      <c r="P71" s="15"/>
      <c r="Q71" s="15"/>
      <c r="R71" s="15" t="e">
        <f t="shared" si="4"/>
        <v>#DIV/0!</v>
      </c>
      <c r="S71" s="15" t="e">
        <f t="shared" si="5"/>
        <v>#DIV/0!</v>
      </c>
      <c r="T71" s="15"/>
      <c r="U71" s="15"/>
    </row>
    <row r="72" spans="11:21" x14ac:dyDescent="0.2">
      <c r="K72" s="13" t="s">
        <v>73</v>
      </c>
      <c r="L72" s="16"/>
      <c r="M72" s="15"/>
      <c r="N72" s="15"/>
      <c r="O72" s="15"/>
      <c r="P72" s="15"/>
      <c r="Q72" s="15"/>
      <c r="R72" s="15" t="e">
        <f t="shared" si="4"/>
        <v>#DIV/0!</v>
      </c>
      <c r="S72" s="15" t="e">
        <f t="shared" si="5"/>
        <v>#DIV/0!</v>
      </c>
      <c r="T72" s="15"/>
      <c r="U72" s="15"/>
    </row>
    <row r="73" spans="11:21" x14ac:dyDescent="0.2">
      <c r="K73" s="13" t="s">
        <v>74</v>
      </c>
      <c r="L73" s="13"/>
      <c r="M73" s="15"/>
      <c r="N73" s="15"/>
      <c r="O73" s="15"/>
      <c r="P73" s="15"/>
      <c r="Q73" s="15"/>
      <c r="R73" s="15" t="e">
        <f t="shared" si="4"/>
        <v>#DIV/0!</v>
      </c>
      <c r="S73" s="15" t="e">
        <f t="shared" si="5"/>
        <v>#DIV/0!</v>
      </c>
      <c r="T73" s="15"/>
      <c r="U73" s="15"/>
    </row>
    <row r="74" spans="11:21" x14ac:dyDescent="0.2">
      <c r="K74" s="13" t="s">
        <v>75</v>
      </c>
      <c r="L74" s="13"/>
      <c r="M74" s="15"/>
      <c r="N74" s="15"/>
      <c r="O74" s="15"/>
      <c r="P74" s="15"/>
      <c r="Q74" s="15"/>
      <c r="R74" s="15" t="e">
        <f t="shared" si="4"/>
        <v>#DIV/0!</v>
      </c>
      <c r="S74" s="15" t="e">
        <f t="shared" si="5"/>
        <v>#DIV/0!</v>
      </c>
      <c r="T74" s="15"/>
      <c r="U74" s="15"/>
    </row>
    <row r="75" spans="11:21" x14ac:dyDescent="0.2">
      <c r="K75" s="13" t="s">
        <v>76</v>
      </c>
      <c r="L75" s="13"/>
      <c r="M75" s="15"/>
      <c r="N75" s="15"/>
      <c r="O75" s="15"/>
      <c r="P75" s="15"/>
      <c r="Q75" s="15"/>
      <c r="R75" s="15" t="e">
        <f t="shared" si="4"/>
        <v>#DIV/0!</v>
      </c>
      <c r="S75" s="15" t="e">
        <f t="shared" si="5"/>
        <v>#DIV/0!</v>
      </c>
      <c r="T75" s="15"/>
      <c r="U75" s="15"/>
    </row>
    <row r="76" spans="11:21" x14ac:dyDescent="0.2">
      <c r="K76" s="13" t="s">
        <v>77</v>
      </c>
      <c r="L76" s="13"/>
      <c r="M76" s="15"/>
      <c r="N76" s="15"/>
      <c r="O76" s="15"/>
      <c r="P76" s="15"/>
      <c r="Q76" s="15"/>
      <c r="R76" s="15" t="e">
        <f t="shared" si="4"/>
        <v>#DIV/0!</v>
      </c>
      <c r="S76" s="15" t="e">
        <f t="shared" si="5"/>
        <v>#DIV/0!</v>
      </c>
      <c r="T76" s="15"/>
      <c r="U76" s="15"/>
    </row>
    <row r="77" spans="11:21" x14ac:dyDescent="0.2">
      <c r="K77" s="13" t="s">
        <v>78</v>
      </c>
      <c r="L77" s="13"/>
      <c r="M77" s="15"/>
      <c r="N77" s="15"/>
      <c r="O77" s="15"/>
      <c r="P77" s="15"/>
      <c r="Q77" s="15"/>
      <c r="R77" s="15" t="e">
        <f t="shared" si="4"/>
        <v>#DIV/0!</v>
      </c>
      <c r="S77" s="15" t="e">
        <f t="shared" si="5"/>
        <v>#DIV/0!</v>
      </c>
      <c r="T77" s="15"/>
      <c r="U77" s="15"/>
    </row>
    <row r="78" spans="11:21" x14ac:dyDescent="0.2">
      <c r="K78" s="13" t="s">
        <v>79</v>
      </c>
      <c r="L78" s="13"/>
      <c r="M78" s="15"/>
      <c r="N78" s="15"/>
      <c r="O78" s="15"/>
      <c r="P78" s="15"/>
      <c r="Q78" s="15"/>
      <c r="R78" s="15" t="e">
        <f t="shared" si="4"/>
        <v>#DIV/0!</v>
      </c>
      <c r="S78" s="15" t="e">
        <f t="shared" si="5"/>
        <v>#DIV/0!</v>
      </c>
      <c r="T78" s="15"/>
      <c r="U78" s="15"/>
    </row>
    <row r="79" spans="11:21" x14ac:dyDescent="0.2">
      <c r="K79" s="13" t="s">
        <v>80</v>
      </c>
      <c r="L79" s="13"/>
      <c r="M79" s="15"/>
      <c r="N79" s="15"/>
      <c r="O79" s="15"/>
      <c r="P79" s="15"/>
      <c r="Q79" s="15"/>
      <c r="R79" s="15" t="e">
        <f t="shared" si="4"/>
        <v>#DIV/0!</v>
      </c>
      <c r="S79" s="15" t="e">
        <f t="shared" si="5"/>
        <v>#DIV/0!</v>
      </c>
      <c r="T79" s="15"/>
      <c r="U79" s="15"/>
    </row>
    <row r="80" spans="11:21" x14ac:dyDescent="0.2">
      <c r="K80" s="15"/>
      <c r="L80" s="16"/>
      <c r="M80" s="15"/>
      <c r="N80" s="15"/>
      <c r="O80" s="15"/>
      <c r="P80" s="15"/>
      <c r="Q80" s="15"/>
      <c r="R80" s="15"/>
      <c r="S80" s="15"/>
      <c r="T80" s="15"/>
      <c r="U80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6EAFF-231B-4E4D-A6B6-A32F500564A4}">
  <dimension ref="B2:Y78"/>
  <sheetViews>
    <sheetView topLeftCell="P13" zoomScaleNormal="100" workbookViewId="0">
      <selection activeCell="W14" sqref="W14:Y35"/>
    </sheetView>
  </sheetViews>
  <sheetFormatPr baseColWidth="10" defaultRowHeight="16" x14ac:dyDescent="0.2"/>
  <cols>
    <col min="1" max="1" width="10.83203125" style="20"/>
    <col min="2" max="2" width="11" style="20" customWidth="1"/>
    <col min="3" max="11" width="10.83203125" style="20"/>
    <col min="12" max="12" width="17" style="20" customWidth="1"/>
    <col min="13" max="16384" width="10.83203125" style="20"/>
  </cols>
  <sheetData>
    <row r="2" spans="2:25" x14ac:dyDescent="0.2">
      <c r="B2" s="18" t="s">
        <v>14</v>
      </c>
      <c r="C2" s="19"/>
      <c r="D2" s="19"/>
      <c r="E2" s="19"/>
      <c r="F2" s="19"/>
      <c r="G2" s="19"/>
      <c r="H2" s="19"/>
      <c r="I2" s="19"/>
      <c r="K2" s="21" t="s">
        <v>15</v>
      </c>
      <c r="L2" s="22"/>
      <c r="M2" s="22"/>
      <c r="N2" s="22"/>
      <c r="O2" s="22"/>
      <c r="P2" s="22"/>
      <c r="Q2" s="22"/>
      <c r="R2" s="22"/>
    </row>
    <row r="3" spans="2:25" x14ac:dyDescent="0.2">
      <c r="B3" s="18" t="s">
        <v>5</v>
      </c>
      <c r="C3" s="18" t="s">
        <v>6</v>
      </c>
      <c r="D3" s="18" t="s">
        <v>7</v>
      </c>
      <c r="E3" s="18" t="s">
        <v>8</v>
      </c>
      <c r="F3" s="18" t="s">
        <v>9</v>
      </c>
      <c r="G3" s="18" t="s">
        <v>10</v>
      </c>
      <c r="H3" s="19"/>
      <c r="I3" s="19"/>
      <c r="K3" s="21" t="s">
        <v>5</v>
      </c>
      <c r="L3" s="21" t="s">
        <v>6</v>
      </c>
      <c r="M3" s="21" t="s">
        <v>7</v>
      </c>
      <c r="N3" s="21" t="s">
        <v>8</v>
      </c>
      <c r="O3" s="21" t="s">
        <v>9</v>
      </c>
      <c r="P3" s="21" t="s">
        <v>10</v>
      </c>
      <c r="Q3" s="22"/>
      <c r="R3" s="22"/>
    </row>
    <row r="4" spans="2:25" x14ac:dyDescent="0.2">
      <c r="B4" s="18" t="s">
        <v>0</v>
      </c>
      <c r="C4" s="23">
        <v>0.84609949588775601</v>
      </c>
      <c r="D4" s="23">
        <v>0.86386799812316895</v>
      </c>
      <c r="E4" s="23">
        <v>0.92370569705963101</v>
      </c>
      <c r="F4" s="23">
        <v>0.85477143526077204</v>
      </c>
      <c r="G4" s="23">
        <v>0.84820407629012995</v>
      </c>
      <c r="H4" s="19"/>
      <c r="I4" s="19"/>
      <c r="K4" s="21" t="s">
        <v>0</v>
      </c>
      <c r="L4" s="24">
        <v>0.86403459310531605</v>
      </c>
      <c r="M4" s="24">
        <v>0.90305769443511896</v>
      </c>
      <c r="N4" s="24">
        <v>0.87099605798721302</v>
      </c>
      <c r="O4" s="24">
        <v>0.84090685844421298</v>
      </c>
      <c r="P4" s="24">
        <v>0.865575671195983</v>
      </c>
      <c r="Q4" s="24"/>
      <c r="R4" s="22"/>
    </row>
    <row r="5" spans="2:25" x14ac:dyDescent="0.2">
      <c r="B5" s="18" t="s">
        <v>1</v>
      </c>
      <c r="C5" s="23">
        <v>0.787381172180175</v>
      </c>
      <c r="D5" s="23">
        <v>0.79109406471252397</v>
      </c>
      <c r="E5" s="23">
        <v>0.94751739501953103</v>
      </c>
      <c r="F5" s="23">
        <v>0.85210180282592696</v>
      </c>
      <c r="G5" s="23">
        <v>0.80553245544433505</v>
      </c>
      <c r="H5" s="19"/>
      <c r="I5" s="19"/>
      <c r="K5" s="21" t="s">
        <v>1</v>
      </c>
      <c r="L5" s="24">
        <v>0.87883567810058505</v>
      </c>
      <c r="M5" s="24">
        <v>0.857654809951782</v>
      </c>
      <c r="N5" s="24">
        <v>0.87803804874420099</v>
      </c>
      <c r="O5" s="24">
        <v>0.83700764179229703</v>
      </c>
      <c r="P5" s="24">
        <v>0.855532646179199</v>
      </c>
      <c r="Q5" s="22"/>
      <c r="R5" s="22"/>
    </row>
    <row r="6" spans="2:25" x14ac:dyDescent="0.2">
      <c r="B6" s="18" t="s">
        <v>2</v>
      </c>
      <c r="C6" s="23">
        <v>0.82605838775634699</v>
      </c>
      <c r="D6" s="23">
        <v>0.87193775177001898</v>
      </c>
      <c r="E6" s="23">
        <v>0.94903117418289096</v>
      </c>
      <c r="F6" s="23">
        <v>0.89987152814865101</v>
      </c>
      <c r="G6" s="23">
        <v>0.85048556327819802</v>
      </c>
      <c r="H6" s="19"/>
      <c r="I6" s="19"/>
      <c r="K6" s="21" t="s">
        <v>2</v>
      </c>
      <c r="L6" s="24">
        <v>0.86335879564285201</v>
      </c>
      <c r="M6" s="24">
        <v>0.87361818552017201</v>
      </c>
      <c r="N6" s="24">
        <v>0.87872081995010298</v>
      </c>
      <c r="O6" s="24">
        <v>0.85242378711700395</v>
      </c>
      <c r="P6" s="24">
        <v>0.87118518352508501</v>
      </c>
      <c r="Q6" s="22"/>
      <c r="R6" s="22"/>
    </row>
    <row r="7" spans="2:25" x14ac:dyDescent="0.2">
      <c r="B7" s="18" t="s">
        <v>3</v>
      </c>
      <c r="C7" s="23">
        <v>0.59229123592376698</v>
      </c>
      <c r="D7" s="23">
        <v>0.890353202819824</v>
      </c>
      <c r="E7" s="23">
        <v>0.96081775426864602</v>
      </c>
      <c r="F7" s="23">
        <v>0.87379229068756104</v>
      </c>
      <c r="G7" s="23">
        <v>0.82504916191100997</v>
      </c>
      <c r="H7" s="19"/>
      <c r="I7" s="19"/>
      <c r="K7" s="21" t="s">
        <v>3</v>
      </c>
      <c r="L7" s="24">
        <v>0.86316967010498002</v>
      </c>
      <c r="M7" s="24">
        <v>0.822240650653839</v>
      </c>
      <c r="N7" s="24">
        <v>0.89109534025192205</v>
      </c>
      <c r="O7" s="24">
        <v>0.829944849014282</v>
      </c>
      <c r="P7" s="24">
        <v>0.83855545520782404</v>
      </c>
      <c r="Q7" s="22"/>
      <c r="R7" s="22"/>
    </row>
    <row r="8" spans="2:25" x14ac:dyDescent="0.2">
      <c r="B8" s="18" t="s">
        <v>4</v>
      </c>
      <c r="C8" s="23">
        <v>0.74478399753570501</v>
      </c>
      <c r="D8" s="23">
        <v>0.88647198677062899</v>
      </c>
      <c r="E8" s="23">
        <v>0.928264200687408</v>
      </c>
      <c r="F8" s="23">
        <v>0.85022860765457098</v>
      </c>
      <c r="G8" s="23">
        <v>0.88850224018096902</v>
      </c>
      <c r="H8" s="19"/>
      <c r="I8" s="19"/>
      <c r="K8" s="21" t="s">
        <v>4</v>
      </c>
      <c r="L8" s="24">
        <v>0.91053259372711104</v>
      </c>
      <c r="M8" s="24">
        <v>0.86615693569183305</v>
      </c>
      <c r="N8" s="24">
        <v>0.86041212081909102</v>
      </c>
      <c r="O8" s="24">
        <v>0.88594537973403897</v>
      </c>
      <c r="P8" s="24">
        <v>0.86366981267928999</v>
      </c>
      <c r="Q8" s="22"/>
      <c r="R8" s="22"/>
    </row>
    <row r="9" spans="2:25" x14ac:dyDescent="0.2">
      <c r="B9" s="18" t="s">
        <v>11</v>
      </c>
      <c r="C9" s="19">
        <f>AVERAGE(C4:C8)</f>
        <v>0.75932285785675002</v>
      </c>
      <c r="D9" s="19">
        <f t="shared" ref="D9:G9" si="0">AVERAGE(D4:D8)</f>
        <v>0.860745000839233</v>
      </c>
      <c r="E9" s="19">
        <f t="shared" si="0"/>
        <v>0.94186724424362145</v>
      </c>
      <c r="F9" s="19">
        <f t="shared" si="0"/>
        <v>0.86615313291549645</v>
      </c>
      <c r="G9" s="19">
        <f t="shared" si="0"/>
        <v>0.84355469942092842</v>
      </c>
      <c r="H9" s="18" t="s">
        <v>13</v>
      </c>
      <c r="I9" s="18">
        <f>AVERAGE(C4:G8)</f>
        <v>0.85432858705520598</v>
      </c>
      <c r="K9" s="21" t="s">
        <v>11</v>
      </c>
      <c r="L9" s="22">
        <f>AVERAGE(L4:L8)</f>
        <v>0.87598626613616892</v>
      </c>
      <c r="M9" s="22">
        <f t="shared" ref="M9:P9" si="1">AVERAGE(M4:M8)</f>
        <v>0.86454565525054894</v>
      </c>
      <c r="N9" s="22">
        <f t="shared" si="1"/>
        <v>0.8758524775505061</v>
      </c>
      <c r="O9" s="22">
        <f t="shared" si="1"/>
        <v>0.84924570322036708</v>
      </c>
      <c r="P9" s="22">
        <f t="shared" si="1"/>
        <v>0.85890375375747607</v>
      </c>
      <c r="Q9" s="21" t="s">
        <v>13</v>
      </c>
      <c r="R9" s="21">
        <f>AVERAGE(L4:P8)</f>
        <v>0.86490677118301362</v>
      </c>
    </row>
    <row r="10" spans="2:25" x14ac:dyDescent="0.2">
      <c r="B10" s="18" t="s">
        <v>12</v>
      </c>
      <c r="C10" s="19">
        <f>STDEV(C4:C8)</f>
        <v>0.10109652076928026</v>
      </c>
      <c r="D10" s="19">
        <f t="shared" ref="D10:G10" si="2">STDEV(D4:D8)</f>
        <v>4.0388139095527485E-2</v>
      </c>
      <c r="E10" s="19">
        <f t="shared" si="2"/>
        <v>1.5469748836700463E-2</v>
      </c>
      <c r="F10" s="19">
        <f t="shared" si="2"/>
        <v>2.1070478946509312E-2</v>
      </c>
      <c r="G10" s="19">
        <f t="shared" si="2"/>
        <v>3.1137119949515131E-2</v>
      </c>
      <c r="H10" s="18" t="s">
        <v>12</v>
      </c>
      <c r="I10" s="18">
        <f>STDEV(C4:G8)</f>
        <v>7.6089006791902031E-2</v>
      </c>
      <c r="K10" s="21" t="s">
        <v>12</v>
      </c>
      <c r="L10" s="22">
        <f>STDEV(L4:L8)</f>
        <v>2.0421364619475964E-2</v>
      </c>
      <c r="M10" s="22">
        <f t="shared" ref="M10:P10" si="3">STDEV(M4:M8)</f>
        <v>2.9177394311207503E-2</v>
      </c>
      <c r="N10" s="22">
        <f t="shared" si="3"/>
        <v>1.126208683888495E-2</v>
      </c>
      <c r="O10" s="22">
        <f t="shared" si="3"/>
        <v>2.207258438801845E-2</v>
      </c>
      <c r="P10" s="22">
        <f t="shared" si="3"/>
        <v>1.2683463025326067E-2</v>
      </c>
      <c r="Q10" s="21" t="s">
        <v>12</v>
      </c>
      <c r="R10" s="21">
        <f>STDEV(L4:P8)</f>
        <v>2.120634928018645E-2</v>
      </c>
    </row>
    <row r="11" spans="2:25" x14ac:dyDescent="0.2">
      <c r="B11" s="19"/>
      <c r="C11" s="19"/>
      <c r="D11" s="19"/>
      <c r="E11" s="19"/>
      <c r="F11" s="19"/>
      <c r="G11" s="19"/>
      <c r="H11" s="19"/>
      <c r="I11" s="19"/>
      <c r="K11" s="22"/>
      <c r="L11" s="22"/>
      <c r="M11" s="22"/>
      <c r="N11" s="22"/>
      <c r="O11" s="22"/>
      <c r="P11" s="22"/>
      <c r="Q11" s="22"/>
      <c r="R11" s="22"/>
    </row>
    <row r="14" spans="2:25" x14ac:dyDescent="0.2">
      <c r="B14" s="25" t="s">
        <v>16</v>
      </c>
      <c r="C14" s="26"/>
      <c r="D14" s="26"/>
      <c r="E14" s="26"/>
      <c r="F14" s="26"/>
      <c r="G14" s="26"/>
      <c r="H14" s="26"/>
      <c r="I14" s="26"/>
      <c r="K14" s="13" t="s">
        <v>17</v>
      </c>
      <c r="L14" s="13"/>
      <c r="M14" s="15"/>
      <c r="N14" s="15"/>
      <c r="O14" s="15"/>
      <c r="P14" s="15"/>
      <c r="Q14" s="15"/>
      <c r="R14" s="15"/>
      <c r="S14" s="15"/>
      <c r="T14" s="15"/>
      <c r="U14" s="15"/>
      <c r="W14" s="20" t="s">
        <v>291</v>
      </c>
      <c r="X14" s="20" t="s">
        <v>5</v>
      </c>
      <c r="Y14" s="20" t="s">
        <v>12</v>
      </c>
    </row>
    <row r="15" spans="2:25" x14ac:dyDescent="0.2">
      <c r="B15" s="25" t="s">
        <v>5</v>
      </c>
      <c r="C15" s="25" t="s">
        <v>6</v>
      </c>
      <c r="D15" s="25" t="s">
        <v>7</v>
      </c>
      <c r="E15" s="25" t="s">
        <v>8</v>
      </c>
      <c r="F15" s="25" t="s">
        <v>9</v>
      </c>
      <c r="G15" s="25" t="s">
        <v>10</v>
      </c>
      <c r="H15" s="26"/>
      <c r="I15" s="26"/>
      <c r="K15" s="13" t="s">
        <v>5</v>
      </c>
      <c r="L15" s="13" t="s">
        <v>83</v>
      </c>
      <c r="M15" s="13" t="s">
        <v>0</v>
      </c>
      <c r="N15" s="13" t="s">
        <v>1</v>
      </c>
      <c r="O15" s="13" t="s">
        <v>2</v>
      </c>
      <c r="P15" s="13" t="s">
        <v>3</v>
      </c>
      <c r="Q15" s="13" t="s">
        <v>4</v>
      </c>
      <c r="R15" s="13" t="s">
        <v>11</v>
      </c>
      <c r="S15" s="13" t="s">
        <v>12</v>
      </c>
      <c r="T15" s="15"/>
      <c r="U15" s="15"/>
      <c r="W15" s="20">
        <v>0</v>
      </c>
      <c r="X15" s="20">
        <f>AVERAGE(R16:R18)</f>
        <v>0.89765653808911594</v>
      </c>
      <c r="Y15" s="20">
        <f>AVERAGE(S16:S18)</f>
        <v>3.6428926140686761E-2</v>
      </c>
    </row>
    <row r="16" spans="2:25" x14ac:dyDescent="0.2">
      <c r="B16" s="25" t="s">
        <v>0</v>
      </c>
      <c r="C16" s="27">
        <v>0.96219003200530995</v>
      </c>
      <c r="D16" s="27">
        <v>0.83392441272735596</v>
      </c>
      <c r="E16" s="27">
        <v>0.87990474700927701</v>
      </c>
      <c r="F16" s="27">
        <v>0.83634209632873502</v>
      </c>
      <c r="G16" s="27">
        <v>0.86538934707641602</v>
      </c>
      <c r="H16" s="27"/>
      <c r="I16" s="26"/>
      <c r="K16" s="13" t="s">
        <v>18</v>
      </c>
      <c r="L16" s="17" t="s">
        <v>147</v>
      </c>
      <c r="M16" s="17">
        <v>0.93246996402740401</v>
      </c>
      <c r="N16" s="17">
        <v>0.92857241630554199</v>
      </c>
      <c r="O16" s="17">
        <v>0.94480830430984497</v>
      </c>
      <c r="P16" s="17">
        <v>0.95041435956954901</v>
      </c>
      <c r="Q16" s="17">
        <v>0.93875360488891602</v>
      </c>
      <c r="R16" s="15">
        <f>AVERAGE(M16:Q16)</f>
        <v>0.93900372982025115</v>
      </c>
      <c r="S16" s="15">
        <f>STDEV(M16:Q16)</f>
        <v>8.880604087560898E-3</v>
      </c>
      <c r="T16" s="15"/>
      <c r="U16" s="15"/>
      <c r="W16" s="20">
        <v>0.05</v>
      </c>
      <c r="X16" s="20">
        <f>AVERAGE(R19:R21)</f>
        <v>0.89252149860064145</v>
      </c>
      <c r="Y16" s="20">
        <f>AVERAGE(S19:S21)</f>
        <v>3.2990179297835799E-2</v>
      </c>
    </row>
    <row r="17" spans="2:25" x14ac:dyDescent="0.2">
      <c r="B17" s="25" t="s">
        <v>1</v>
      </c>
      <c r="C17" s="27">
        <v>0.93475103378295898</v>
      </c>
      <c r="D17" s="27">
        <v>0.84276914596557595</v>
      </c>
      <c r="E17" s="27">
        <v>0.88355779647827104</v>
      </c>
      <c r="F17" s="27">
        <v>0.82128232717514005</v>
      </c>
      <c r="G17" s="27">
        <v>0.73150849342346103</v>
      </c>
      <c r="H17" s="27"/>
      <c r="I17" s="26"/>
      <c r="K17" s="13" t="s">
        <v>19</v>
      </c>
      <c r="L17" s="17" t="s">
        <v>147</v>
      </c>
      <c r="M17" s="17">
        <v>0.854336738586425</v>
      </c>
      <c r="N17" s="17">
        <v>0.93401163816452004</v>
      </c>
      <c r="O17" s="17">
        <v>0.89235287904739302</v>
      </c>
      <c r="P17" s="17" t="s">
        <v>81</v>
      </c>
      <c r="Q17" s="17">
        <v>0.92666137218475297</v>
      </c>
      <c r="R17" s="15">
        <f t="shared" ref="R17:R78" si="4">AVERAGE(M17:Q17)</f>
        <v>0.90184065699577276</v>
      </c>
      <c r="S17" s="15">
        <f t="shared" ref="S17:S78" si="5">STDEV(M17:Q17)</f>
        <v>3.6504246905860578E-2</v>
      </c>
      <c r="T17" s="15"/>
      <c r="U17" s="15"/>
      <c r="W17" s="20">
        <v>0.1</v>
      </c>
      <c r="X17" s="20">
        <f>AVERAGE(R22:R24)</f>
        <v>0.67170313000678983</v>
      </c>
      <c r="Y17" s="20">
        <f>AVERAGE(S22:S24)</f>
        <v>9.6444855751261285E-2</v>
      </c>
    </row>
    <row r="18" spans="2:25" x14ac:dyDescent="0.2">
      <c r="B18" s="25" t="s">
        <v>2</v>
      </c>
      <c r="C18" s="27">
        <v>0.93875813484191895</v>
      </c>
      <c r="D18" s="27">
        <v>0.79425418376922596</v>
      </c>
      <c r="E18" s="27">
        <v>0.91831910610198897</v>
      </c>
      <c r="F18" s="27">
        <v>0.81516194343566895</v>
      </c>
      <c r="G18" s="27">
        <v>0.80398607254028298</v>
      </c>
      <c r="H18" s="26"/>
      <c r="I18" s="26"/>
      <c r="K18" s="13" t="s">
        <v>20</v>
      </c>
      <c r="L18" s="17" t="s">
        <v>147</v>
      </c>
      <c r="M18" s="17">
        <v>0.79469621181488004</v>
      </c>
      <c r="N18" s="17">
        <v>0.77961885929107599</v>
      </c>
      <c r="O18" s="17">
        <v>0.85791110992431596</v>
      </c>
      <c r="P18" s="17">
        <v>0.91858941316604603</v>
      </c>
      <c r="Q18" s="17">
        <v>0.90981054306030196</v>
      </c>
      <c r="R18" s="15">
        <f t="shared" si="4"/>
        <v>0.85212522745132413</v>
      </c>
      <c r="S18" s="15">
        <f t="shared" si="5"/>
        <v>6.3901927428638802E-2</v>
      </c>
      <c r="T18" s="15"/>
      <c r="U18" s="15"/>
      <c r="W18" s="20">
        <v>0.15</v>
      </c>
      <c r="X18" s="20">
        <f>AVERAGE(R25:R27)</f>
        <v>0.65673633416493671</v>
      </c>
      <c r="Y18" s="20">
        <f>AVERAGE(S25:S27)</f>
        <v>5.6007172207716359E-2</v>
      </c>
    </row>
    <row r="19" spans="2:25" x14ac:dyDescent="0.2">
      <c r="B19" s="25" t="s">
        <v>3</v>
      </c>
      <c r="C19" s="27">
        <v>0.96305692195892301</v>
      </c>
      <c r="D19" s="27">
        <v>0.79745620489120395</v>
      </c>
      <c r="E19" s="27">
        <v>0.91130608320236195</v>
      </c>
      <c r="F19" s="27">
        <v>0.83815896511077803</v>
      </c>
      <c r="G19" s="27">
        <v>0.78336024284362704</v>
      </c>
      <c r="H19" s="26"/>
      <c r="I19" s="26"/>
      <c r="K19" s="13" t="s">
        <v>21</v>
      </c>
      <c r="L19" s="17" t="s">
        <v>148</v>
      </c>
      <c r="M19" s="17">
        <v>0.865314960479736</v>
      </c>
      <c r="N19" s="17">
        <v>0.864732146263122</v>
      </c>
      <c r="O19" s="17">
        <v>0.87253224849700906</v>
      </c>
      <c r="P19" s="17">
        <v>0.86418652534484797</v>
      </c>
      <c r="Q19" s="17">
        <v>0.89630460739135698</v>
      </c>
      <c r="R19" s="15">
        <f t="shared" si="4"/>
        <v>0.87261409759521447</v>
      </c>
      <c r="S19" s="15">
        <f t="shared" si="5"/>
        <v>1.3671809382294451E-2</v>
      </c>
      <c r="T19" s="15"/>
      <c r="U19" s="15"/>
      <c r="W19" s="20">
        <v>0.2</v>
      </c>
      <c r="X19" s="20">
        <f>AVERAGE(R28:R30)</f>
        <v>0.49782946283618568</v>
      </c>
      <c r="Y19" s="20">
        <f>AVERAGE(S28:S30)</f>
        <v>0.16175140099623275</v>
      </c>
    </row>
    <row r="20" spans="2:25" x14ac:dyDescent="0.2">
      <c r="B20" s="25" t="s">
        <v>4</v>
      </c>
      <c r="C20" s="27">
        <v>0.93571144342422397</v>
      </c>
      <c r="D20" s="27">
        <v>0.83154273033142001</v>
      </c>
      <c r="E20" s="27">
        <v>0.91420483589172297</v>
      </c>
      <c r="F20" s="27">
        <v>0.812083899974823</v>
      </c>
      <c r="G20" s="27">
        <v>0.79627704620361295</v>
      </c>
      <c r="H20" s="26"/>
      <c r="I20" s="26"/>
      <c r="K20" s="13" t="s">
        <v>22</v>
      </c>
      <c r="L20" s="17" t="s">
        <v>84</v>
      </c>
      <c r="M20" s="17">
        <v>0.94487535953521695</v>
      </c>
      <c r="N20" s="17">
        <v>0.88417309522628695</v>
      </c>
      <c r="O20" s="17" t="s">
        <v>85</v>
      </c>
      <c r="P20" s="17">
        <v>0.82946711778640703</v>
      </c>
      <c r="Q20" s="17">
        <v>0.95595693588256803</v>
      </c>
      <c r="R20" s="15">
        <f t="shared" si="4"/>
        <v>0.90361812710761968</v>
      </c>
      <c r="S20" s="15">
        <f t="shared" si="5"/>
        <v>5.8645805703352184E-2</v>
      </c>
      <c r="T20" s="15"/>
      <c r="U20" s="15"/>
      <c r="W20" s="20">
        <v>0.25</v>
      </c>
      <c r="X20" s="20">
        <f>AVERAGE(R31:R33)</f>
        <v>0.55583333224058118</v>
      </c>
      <c r="Y20" s="20">
        <f>AVERAGE(S31:S33)</f>
        <v>7.4082230009648961E-2</v>
      </c>
    </row>
    <row r="21" spans="2:25" x14ac:dyDescent="0.2">
      <c r="B21" s="25" t="s">
        <v>11</v>
      </c>
      <c r="C21" s="26">
        <f>AVERAGE(C16:C20)</f>
        <v>0.9468935132026669</v>
      </c>
      <c r="D21" s="26">
        <f t="shared" ref="D21" si="6">AVERAGE(D16:D20)</f>
        <v>0.81998933553695641</v>
      </c>
      <c r="E21" s="26">
        <f t="shared" ref="E21" si="7">AVERAGE(E16:E20)</f>
        <v>0.90145851373672437</v>
      </c>
      <c r="F21" s="26">
        <f t="shared" ref="F21" si="8">AVERAGE(F16:F20)</f>
        <v>0.82460584640502899</v>
      </c>
      <c r="G21" s="26">
        <f t="shared" ref="G21" si="9">AVERAGE(G16:G20)</f>
        <v>0.79610424041748007</v>
      </c>
      <c r="H21" s="25" t="s">
        <v>13</v>
      </c>
      <c r="I21" s="25">
        <f>AVERAGE(C16:G20)</f>
        <v>0.85781028985977159</v>
      </c>
      <c r="K21" s="13" t="s">
        <v>23</v>
      </c>
      <c r="L21" s="17" t="s">
        <v>86</v>
      </c>
      <c r="M21" s="17">
        <v>0.92661595344543402</v>
      </c>
      <c r="N21" s="15">
        <v>0.85750842094421298</v>
      </c>
      <c r="O21" s="17">
        <v>0.91755414009094205</v>
      </c>
      <c r="P21" s="17">
        <v>0.89967340230941695</v>
      </c>
      <c r="Q21" s="17">
        <v>0.905309438705444</v>
      </c>
      <c r="R21" s="15">
        <f t="shared" si="4"/>
        <v>0.90133227109909009</v>
      </c>
      <c r="S21" s="15">
        <f t="shared" si="5"/>
        <v>2.665292280786076E-2</v>
      </c>
      <c r="T21" s="15"/>
      <c r="U21" s="15"/>
      <c r="W21" s="20">
        <v>0.3</v>
      </c>
      <c r="X21" s="20">
        <f>AVERAGE(R34:R36)</f>
        <v>0.23695652087529462</v>
      </c>
      <c r="Y21" s="20">
        <f>AVERAGE(S34:S36)</f>
        <v>3.7372239520182413E-2</v>
      </c>
    </row>
    <row r="22" spans="2:25" x14ac:dyDescent="0.2">
      <c r="B22" s="25" t="s">
        <v>12</v>
      </c>
      <c r="C22" s="26">
        <f>STDEV(C16:C20)</f>
        <v>1.4438681918391582E-2</v>
      </c>
      <c r="D22" s="26">
        <f t="shared" ref="D22:G22" si="10">STDEV(D16:D20)</f>
        <v>2.245343561656904E-2</v>
      </c>
      <c r="E22" s="26">
        <f t="shared" si="10"/>
        <v>1.8225829653787304E-2</v>
      </c>
      <c r="F22" s="26">
        <f t="shared" si="10"/>
        <v>1.202558537754911E-2</v>
      </c>
      <c r="G22" s="26">
        <f t="shared" si="10"/>
        <v>4.7952057171902415E-2</v>
      </c>
      <c r="H22" s="25" t="s">
        <v>12</v>
      </c>
      <c r="I22" s="25">
        <f>STDEV(C16:G20)</f>
        <v>6.2869982319009782E-2</v>
      </c>
      <c r="K22" s="13" t="s">
        <v>24</v>
      </c>
      <c r="L22" s="17" t="s">
        <v>87</v>
      </c>
      <c r="M22" s="17">
        <v>0.65641027688980103</v>
      </c>
      <c r="N22" s="17">
        <v>0.602747201919555</v>
      </c>
      <c r="O22" s="17">
        <v>0.58343321084976196</v>
      </c>
      <c r="P22" s="17">
        <v>0.55902433395385698</v>
      </c>
      <c r="Q22" s="17">
        <v>0.54748582839965798</v>
      </c>
      <c r="R22" s="15">
        <f t="shared" si="4"/>
        <v>0.58982017040252666</v>
      </c>
      <c r="S22" s="15">
        <f t="shared" si="5"/>
        <v>4.2961388867058574E-2</v>
      </c>
      <c r="T22" s="15"/>
      <c r="U22" s="15"/>
      <c r="W22" s="20">
        <v>0.35</v>
      </c>
      <c r="X22" s="20">
        <f>AVERAGE(R37:R39)</f>
        <v>0.2701754411061601</v>
      </c>
      <c r="Y22" s="20">
        <f>AVERAGE(S37:S39)</f>
        <v>3.2809272290174496E-2</v>
      </c>
    </row>
    <row r="23" spans="2:25" x14ac:dyDescent="0.2">
      <c r="B23" s="26"/>
      <c r="C23" s="26"/>
      <c r="D23" s="26"/>
      <c r="E23" s="26"/>
      <c r="F23" s="26"/>
      <c r="G23" s="26"/>
      <c r="H23" s="26"/>
      <c r="I23" s="26"/>
      <c r="K23" s="13" t="s">
        <v>25</v>
      </c>
      <c r="L23" s="17" t="s">
        <v>88</v>
      </c>
      <c r="M23" s="17">
        <v>0.42170327901840199</v>
      </c>
      <c r="N23" s="17">
        <v>0.89468872547149603</v>
      </c>
      <c r="O23" s="17">
        <v>0.50137364864349299</v>
      </c>
      <c r="P23" s="17">
        <v>0.45970696210861201</v>
      </c>
      <c r="Q23" s="17" t="s">
        <v>89</v>
      </c>
      <c r="R23" s="15">
        <f t="shared" si="4"/>
        <v>0.56936815381050077</v>
      </c>
      <c r="S23" s="15">
        <f t="shared" si="5"/>
        <v>0.21930740927716633</v>
      </c>
      <c r="T23" s="15"/>
      <c r="U23" s="15"/>
      <c r="W23" s="20">
        <v>0.4</v>
      </c>
      <c r="X23" s="20">
        <f>AVERAGE(R41:R42)</f>
        <v>0.4087499901652335</v>
      </c>
      <c r="Y23" s="20">
        <f>AVERAGE(S41:S42)</f>
        <v>0.1337088238520906</v>
      </c>
    </row>
    <row r="24" spans="2:25" x14ac:dyDescent="0.2">
      <c r="B24" s="29"/>
      <c r="K24" s="13" t="s">
        <v>26</v>
      </c>
      <c r="L24" s="17" t="s">
        <v>90</v>
      </c>
      <c r="M24" s="17">
        <v>0.884868383407592</v>
      </c>
      <c r="N24" s="17">
        <v>0.875</v>
      </c>
      <c r="O24" s="17">
        <v>0.865131616592407</v>
      </c>
      <c r="P24" s="17">
        <v>0.82565790414810103</v>
      </c>
      <c r="Q24" s="17">
        <v>0.82894742488860995</v>
      </c>
      <c r="R24" s="15">
        <f t="shared" si="4"/>
        <v>0.85592106580734195</v>
      </c>
      <c r="S24" s="15">
        <f t="shared" si="5"/>
        <v>2.7065769109558976E-2</v>
      </c>
      <c r="T24" s="15"/>
      <c r="U24" s="15"/>
      <c r="W24" s="20">
        <v>0.45</v>
      </c>
      <c r="X24" s="20">
        <f>AVERAGE(R43:R45)</f>
        <v>0.31168831388155593</v>
      </c>
      <c r="Y24" s="20">
        <f>AVERAGE(S43:S45)</f>
        <v>0</v>
      </c>
    </row>
    <row r="25" spans="2:25" x14ac:dyDescent="0.2">
      <c r="B25" s="29"/>
      <c r="C25" s="29"/>
      <c r="D25" s="29"/>
      <c r="E25" s="29"/>
      <c r="F25" s="29"/>
      <c r="G25" s="29"/>
      <c r="K25" s="13" t="s">
        <v>27</v>
      </c>
      <c r="L25" s="17" t="s">
        <v>91</v>
      </c>
      <c r="M25" s="17">
        <v>0.55163395404815596</v>
      </c>
      <c r="N25" s="17">
        <v>0.662173151969909</v>
      </c>
      <c r="O25" s="17">
        <v>0.56066989898681596</v>
      </c>
      <c r="P25" s="17">
        <v>0.56277775764465299</v>
      </c>
      <c r="Q25" s="17">
        <v>0.60718953609466497</v>
      </c>
      <c r="R25" s="15">
        <f t="shared" si="4"/>
        <v>0.58888885974883975</v>
      </c>
      <c r="S25" s="15">
        <f t="shared" si="5"/>
        <v>4.6291277902560823E-2</v>
      </c>
      <c r="T25" s="15"/>
      <c r="U25" s="15"/>
      <c r="W25" s="20">
        <v>0.5</v>
      </c>
      <c r="X25" s="20" t="e">
        <f>AVERAGE(R46:R48)</f>
        <v>#DIV/0!</v>
      </c>
      <c r="Y25" s="20" t="e">
        <f>AVERAGE(S46:S48)</f>
        <v>#DIV/0!</v>
      </c>
    </row>
    <row r="26" spans="2:25" x14ac:dyDescent="0.2">
      <c r="B26" s="29"/>
      <c r="K26" s="13" t="s">
        <v>28</v>
      </c>
      <c r="L26" s="17" t="s">
        <v>92</v>
      </c>
      <c r="M26" s="17">
        <v>0.68650662899017301</v>
      </c>
      <c r="N26" s="17">
        <v>0.65643227100372303</v>
      </c>
      <c r="O26" s="17">
        <v>0.68056035041809004</v>
      </c>
      <c r="P26" s="17">
        <v>0.62498569488525302</v>
      </c>
      <c r="Q26" s="17">
        <v>0.66552317142486495</v>
      </c>
      <c r="R26" s="15">
        <f t="shared" si="4"/>
        <v>0.66280162334442072</v>
      </c>
      <c r="S26" s="15">
        <f t="shared" si="5"/>
        <v>2.4265817513352165E-2</v>
      </c>
      <c r="T26" s="15"/>
      <c r="U26" s="15"/>
      <c r="W26" s="20">
        <v>0.55000000000000004</v>
      </c>
      <c r="X26" s="20" t="e">
        <f>AVERAGE(R49:R51)</f>
        <v>#DIV/0!</v>
      </c>
      <c r="Y26" s="20" t="e">
        <f>AVERAGE(S49:S51)</f>
        <v>#DIV/0!</v>
      </c>
    </row>
    <row r="27" spans="2:25" x14ac:dyDescent="0.2">
      <c r="B27" s="29"/>
      <c r="K27" s="13" t="s">
        <v>29</v>
      </c>
      <c r="L27" s="17" t="s">
        <v>93</v>
      </c>
      <c r="M27" s="17">
        <v>0.77777779102325395</v>
      </c>
      <c r="N27" s="17">
        <v>0.75925928354263295</v>
      </c>
      <c r="O27" s="17">
        <v>0.70370364189147905</v>
      </c>
      <c r="P27" s="17">
        <v>0.79629629850387496</v>
      </c>
      <c r="Q27" s="17">
        <v>0.55555558204650801</v>
      </c>
      <c r="R27" s="15">
        <f t="shared" si="4"/>
        <v>0.71851851940154976</v>
      </c>
      <c r="S27" s="15">
        <f t="shared" si="5"/>
        <v>9.7464421207236099E-2</v>
      </c>
      <c r="T27" s="15"/>
      <c r="U27" s="15"/>
      <c r="W27" s="20">
        <v>0.6</v>
      </c>
      <c r="X27" s="20" t="e">
        <f>AVERAGE(R52:R54)</f>
        <v>#DIV/0!</v>
      </c>
      <c r="Y27" s="20" t="e">
        <f>AVERAGE(S52:S54)</f>
        <v>#DIV/0!</v>
      </c>
    </row>
    <row r="28" spans="2:25" x14ac:dyDescent="0.2">
      <c r="B28" s="29"/>
      <c r="K28" s="13" t="s">
        <v>30</v>
      </c>
      <c r="L28" s="17" t="s">
        <v>94</v>
      </c>
      <c r="M28" s="17">
        <v>0.70614039897918701</v>
      </c>
      <c r="N28" s="17">
        <v>0.399122804403305</v>
      </c>
      <c r="O28" s="17">
        <v>0.75</v>
      </c>
      <c r="P28" s="17">
        <v>0.38596487045288003</v>
      </c>
      <c r="Q28" s="17">
        <v>0.77631580829620295</v>
      </c>
      <c r="R28" s="15">
        <f t="shared" si="4"/>
        <v>0.60350877642631495</v>
      </c>
      <c r="S28" s="15">
        <f t="shared" si="5"/>
        <v>0.1942641084848156</v>
      </c>
      <c r="T28" s="15"/>
      <c r="U28" s="15"/>
      <c r="W28" s="20">
        <v>0.65</v>
      </c>
      <c r="X28" s="20" t="e">
        <f>AVERAGE(R55:R57)</f>
        <v>#DIV/0!</v>
      </c>
      <c r="Y28" s="20" t="e">
        <f>AVERAGE(S55:S57)</f>
        <v>#DIV/0!</v>
      </c>
    </row>
    <row r="29" spans="2:25" x14ac:dyDescent="0.2">
      <c r="B29" s="29"/>
      <c r="K29" s="13" t="s">
        <v>31</v>
      </c>
      <c r="L29" s="17" t="s">
        <v>95</v>
      </c>
      <c r="M29" s="17">
        <v>0.40945947170257502</v>
      </c>
      <c r="N29" s="17" t="s">
        <v>96</v>
      </c>
      <c r="O29" s="17">
        <v>0.62676966190338101</v>
      </c>
      <c r="P29" s="17">
        <v>0.20289574563503199</v>
      </c>
      <c r="Q29" s="17">
        <v>0.19491633772850001</v>
      </c>
      <c r="R29" s="15">
        <f t="shared" si="4"/>
        <v>0.35851030424237201</v>
      </c>
      <c r="S29" s="15">
        <f t="shared" si="5"/>
        <v>0.20456276735832132</v>
      </c>
      <c r="T29" s="15"/>
      <c r="U29" s="15"/>
      <c r="W29" s="20">
        <v>0.7</v>
      </c>
      <c r="X29" s="20" t="e">
        <f>AVERAGE(R58:R60)</f>
        <v>#DIV/0!</v>
      </c>
      <c r="Y29" s="20" t="e">
        <f>AVERAGE(S58:S60)</f>
        <v>#DIV/0!</v>
      </c>
    </row>
    <row r="30" spans="2:25" x14ac:dyDescent="0.2">
      <c r="B30" s="29"/>
      <c r="K30" s="13" t="s">
        <v>32</v>
      </c>
      <c r="L30" s="17" t="s">
        <v>97</v>
      </c>
      <c r="M30" s="17">
        <v>0.46995615959167403</v>
      </c>
      <c r="N30" s="17" t="s">
        <v>98</v>
      </c>
      <c r="O30" s="17">
        <v>0.653947353363037</v>
      </c>
      <c r="P30" s="17">
        <v>0.53070175647735596</v>
      </c>
      <c r="Q30" s="17">
        <v>0.471271961927413</v>
      </c>
      <c r="R30" s="15">
        <f t="shared" si="4"/>
        <v>0.53146930783987001</v>
      </c>
      <c r="S30" s="15">
        <f t="shared" si="5"/>
        <v>8.6427327145561325E-2</v>
      </c>
      <c r="T30" s="15"/>
      <c r="U30" s="15"/>
      <c r="W30" s="20">
        <v>0.75</v>
      </c>
      <c r="X30" s="20" t="e">
        <f>AVERAGE(R61:R63)</f>
        <v>#DIV/0!</v>
      </c>
      <c r="Y30" s="20" t="e">
        <f>AVERAGE(S61:S63)</f>
        <v>#DIV/0!</v>
      </c>
    </row>
    <row r="31" spans="2:25" x14ac:dyDescent="0.2">
      <c r="K31" s="13" t="s">
        <v>33</v>
      </c>
      <c r="L31" s="17" t="s">
        <v>99</v>
      </c>
      <c r="M31" s="17">
        <v>1</v>
      </c>
      <c r="N31" s="17">
        <v>1</v>
      </c>
      <c r="O31" s="17">
        <v>1</v>
      </c>
      <c r="P31" s="17">
        <v>1</v>
      </c>
      <c r="Q31" s="17">
        <v>1</v>
      </c>
      <c r="R31" s="15">
        <f t="shared" si="4"/>
        <v>1</v>
      </c>
      <c r="S31" s="15">
        <f t="shared" si="5"/>
        <v>0</v>
      </c>
      <c r="T31" s="15"/>
      <c r="U31" s="17" t="s">
        <v>100</v>
      </c>
      <c r="W31" s="20">
        <v>0.8</v>
      </c>
      <c r="X31" s="20" t="e">
        <f>AVERAGE(R64:R66)</f>
        <v>#DIV/0!</v>
      </c>
      <c r="Y31" s="20" t="e">
        <f>AVERAGE(S64:S66)</f>
        <v>#DIV/0!</v>
      </c>
    </row>
    <row r="32" spans="2:25" x14ac:dyDescent="0.2">
      <c r="K32" s="13" t="s">
        <v>34</v>
      </c>
      <c r="L32" s="17" t="s">
        <v>101</v>
      </c>
      <c r="M32" s="17">
        <v>0.29731184244155801</v>
      </c>
      <c r="N32" s="17">
        <v>0.34623652696609403</v>
      </c>
      <c r="O32" s="17">
        <v>0.29731184244155801</v>
      </c>
      <c r="P32" s="17">
        <v>0.337903201580047</v>
      </c>
      <c r="Q32" s="17">
        <v>0.32956987619400002</v>
      </c>
      <c r="R32" s="15">
        <f t="shared" si="4"/>
        <v>0.32166665792465138</v>
      </c>
      <c r="S32" s="15">
        <f t="shared" si="5"/>
        <v>2.3000427974448786E-2</v>
      </c>
      <c r="T32" s="15"/>
      <c r="U32" s="17" t="s">
        <v>82</v>
      </c>
      <c r="W32" s="20">
        <v>0.85</v>
      </c>
      <c r="X32" s="20" t="e">
        <f>AVERAGE(R67:R69)</f>
        <v>#DIV/0!</v>
      </c>
      <c r="Y32" s="20" t="e">
        <f>AVERAGE(S67:S69)</f>
        <v>#DIV/0!</v>
      </c>
    </row>
    <row r="33" spans="11:25" x14ac:dyDescent="0.2">
      <c r="K33" s="13" t="s">
        <v>35</v>
      </c>
      <c r="L33" s="17" t="s">
        <v>102</v>
      </c>
      <c r="M33" s="17">
        <v>5.00000119209289E-2</v>
      </c>
      <c r="N33" s="17">
        <v>0.483333349227905</v>
      </c>
      <c r="O33" s="17">
        <v>0.41666665673255898</v>
      </c>
      <c r="P33" s="17">
        <v>0.43333333730697599</v>
      </c>
      <c r="Q33" s="17" t="s">
        <v>103</v>
      </c>
      <c r="R33" s="15">
        <f t="shared" si="4"/>
        <v>0.34583333879709222</v>
      </c>
      <c r="S33" s="15">
        <f t="shared" si="5"/>
        <v>0.19924626205449808</v>
      </c>
      <c r="T33" s="15"/>
      <c r="U33" s="15"/>
      <c r="W33" s="20">
        <v>0.9</v>
      </c>
      <c r="X33" s="20" t="e">
        <f>AVERAGE(R70:R72)</f>
        <v>#DIV/0!</v>
      </c>
      <c r="Y33" s="20" t="e">
        <f>AVERAGE(S70:S72)</f>
        <v>#DIV/0!</v>
      </c>
    </row>
    <row r="34" spans="11:25" x14ac:dyDescent="0.2">
      <c r="K34" s="13" t="s">
        <v>36</v>
      </c>
      <c r="L34" s="17" t="s">
        <v>104</v>
      </c>
      <c r="M34" s="17">
        <v>0.26086956262588501</v>
      </c>
      <c r="N34" s="17">
        <v>0.30434781312942499</v>
      </c>
      <c r="O34" s="17">
        <v>0.26086956262588501</v>
      </c>
      <c r="P34" s="17">
        <v>0.17391306161880399</v>
      </c>
      <c r="Q34" s="17">
        <v>0.26086956262588501</v>
      </c>
      <c r="R34" s="15">
        <f t="shared" si="4"/>
        <v>0.25217391252517685</v>
      </c>
      <c r="S34" s="15">
        <f t="shared" si="5"/>
        <v>4.7628037123298717E-2</v>
      </c>
      <c r="T34" s="15"/>
      <c r="U34" s="15"/>
      <c r="W34" s="20">
        <v>0.95</v>
      </c>
      <c r="X34" s="20" t="e">
        <f>AVERAGE(R73:R75)</f>
        <v>#DIV/0!</v>
      </c>
      <c r="Y34" s="20" t="e">
        <f>AVERAGE(S73:S75)</f>
        <v>#DIV/0!</v>
      </c>
    </row>
    <row r="35" spans="11:25" x14ac:dyDescent="0.2">
      <c r="K35" s="13" t="s">
        <v>37</v>
      </c>
      <c r="L35" s="17" t="s">
        <v>105</v>
      </c>
      <c r="M35" s="17">
        <v>0.184782609343528</v>
      </c>
      <c r="N35" s="17">
        <v>0.184782609343528</v>
      </c>
      <c r="O35" s="17" t="s">
        <v>106</v>
      </c>
      <c r="P35" s="17">
        <v>0.184782609343528</v>
      </c>
      <c r="Q35" s="17" t="s">
        <v>106</v>
      </c>
      <c r="R35" s="15">
        <f t="shared" si="4"/>
        <v>0.184782609343528</v>
      </c>
      <c r="S35" s="15">
        <f t="shared" si="5"/>
        <v>0</v>
      </c>
      <c r="T35" s="15"/>
      <c r="U35" s="15"/>
      <c r="W35" s="20">
        <v>1</v>
      </c>
      <c r="X35" s="20" t="e">
        <f>AVERAGE(R76:R78)</f>
        <v>#DIV/0!</v>
      </c>
      <c r="Y35" s="20" t="e">
        <f>AVERAGE(S76:S78)</f>
        <v>#DIV/0!</v>
      </c>
    </row>
    <row r="36" spans="11:25" x14ac:dyDescent="0.2">
      <c r="K36" s="13" t="s">
        <v>38</v>
      </c>
      <c r="L36" s="17" t="s">
        <v>107</v>
      </c>
      <c r="M36" s="17">
        <v>0.28260868787765497</v>
      </c>
      <c r="N36" s="17">
        <v>0.26086956262588501</v>
      </c>
      <c r="O36" s="17">
        <v>0.30434781312942499</v>
      </c>
      <c r="P36" s="17">
        <v>0.34782609343528698</v>
      </c>
      <c r="Q36" s="17">
        <v>0.17391304671764299</v>
      </c>
      <c r="R36" s="15">
        <f t="shared" si="4"/>
        <v>0.27391304075717904</v>
      </c>
      <c r="S36" s="15">
        <f t="shared" si="5"/>
        <v>6.4488681437248521E-2</v>
      </c>
      <c r="T36" s="15"/>
      <c r="U36" s="15"/>
    </row>
    <row r="37" spans="11:25" x14ac:dyDescent="0.2">
      <c r="K37" s="13" t="s">
        <v>39</v>
      </c>
      <c r="L37" s="17" t="s">
        <v>108</v>
      </c>
      <c r="M37" s="17">
        <v>0.73684215545654297</v>
      </c>
      <c r="N37" s="17">
        <v>0.63157892227172796</v>
      </c>
      <c r="O37" s="17">
        <v>0.68421053886413497</v>
      </c>
      <c r="P37" s="17">
        <v>0.52631580829620295</v>
      </c>
      <c r="Q37" s="17">
        <v>0.68421053886413497</v>
      </c>
      <c r="R37" s="15">
        <f t="shared" si="4"/>
        <v>0.65263159275054883</v>
      </c>
      <c r="S37" s="15">
        <f t="shared" si="5"/>
        <v>7.9819751445297113E-2</v>
      </c>
      <c r="T37" s="15"/>
      <c r="U37" s="15"/>
      <c r="V37" s="28"/>
    </row>
    <row r="38" spans="11:25" x14ac:dyDescent="0.2">
      <c r="K38" s="13" t="s">
        <v>40</v>
      </c>
      <c r="L38" s="17" t="s">
        <v>109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5">
        <f t="shared" si="4"/>
        <v>0</v>
      </c>
      <c r="S38" s="15">
        <f t="shared" si="5"/>
        <v>0</v>
      </c>
      <c r="T38" s="15"/>
      <c r="U38" s="15"/>
    </row>
    <row r="39" spans="11:25" x14ac:dyDescent="0.2">
      <c r="K39" s="13" t="s">
        <v>41</v>
      </c>
      <c r="L39" s="17" t="s">
        <v>108</v>
      </c>
      <c r="M39" s="17" t="s">
        <v>110</v>
      </c>
      <c r="N39" s="17">
        <v>0.14473684132099099</v>
      </c>
      <c r="O39" s="17" t="s">
        <v>111</v>
      </c>
      <c r="P39" s="17">
        <v>0.17105261981487199</v>
      </c>
      <c r="Q39" s="17" t="s">
        <v>112</v>
      </c>
      <c r="R39" s="15">
        <f t="shared" si="4"/>
        <v>0.15789473056793149</v>
      </c>
      <c r="S39" s="15">
        <f t="shared" si="5"/>
        <v>1.8608065425226368E-2</v>
      </c>
      <c r="T39" s="15"/>
      <c r="U39" s="15"/>
    </row>
    <row r="40" spans="11:25" x14ac:dyDescent="0.2">
      <c r="K40" s="13" t="s">
        <v>42</v>
      </c>
      <c r="L40" s="17" t="s">
        <v>113</v>
      </c>
      <c r="M40" s="17">
        <v>0.233333319425582</v>
      </c>
      <c r="N40" s="17">
        <v>0.133333325386047</v>
      </c>
      <c r="O40" s="17">
        <v>0.233333319425582</v>
      </c>
      <c r="P40" s="17">
        <v>0.266666650772094</v>
      </c>
      <c r="Q40" s="17">
        <v>0.233333319425582</v>
      </c>
      <c r="R40" s="15">
        <f t="shared" si="4"/>
        <v>0.21999998688697739</v>
      </c>
      <c r="S40" s="15">
        <f t="shared" si="5"/>
        <v>5.0552499947179384E-2</v>
      </c>
      <c r="T40" s="15"/>
      <c r="U40" s="15"/>
    </row>
    <row r="41" spans="11:25" x14ac:dyDescent="0.2">
      <c r="K41" s="13" t="s">
        <v>43</v>
      </c>
      <c r="L41" s="17" t="s">
        <v>114</v>
      </c>
      <c r="M41" s="17" t="s">
        <v>115</v>
      </c>
      <c r="N41" s="17">
        <v>0.5</v>
      </c>
      <c r="O41" s="17">
        <v>0.3125</v>
      </c>
      <c r="P41" s="17">
        <v>0.5</v>
      </c>
      <c r="Q41" s="17" t="s">
        <v>116</v>
      </c>
      <c r="R41" s="15">
        <f t="shared" si="4"/>
        <v>0.4375</v>
      </c>
      <c r="S41" s="15">
        <f t="shared" si="5"/>
        <v>0.10825317547305482</v>
      </c>
      <c r="T41" s="15"/>
      <c r="U41" s="17"/>
    </row>
    <row r="42" spans="11:25" x14ac:dyDescent="0.2">
      <c r="K42" s="13" t="s">
        <v>44</v>
      </c>
      <c r="L42" s="17" t="s">
        <v>117</v>
      </c>
      <c r="M42" s="17">
        <v>0.233333334326744</v>
      </c>
      <c r="N42" s="17">
        <v>0.39999997615814198</v>
      </c>
      <c r="O42" s="17">
        <v>0.53333330154418901</v>
      </c>
      <c r="P42" s="17">
        <v>0.53333330154418901</v>
      </c>
      <c r="Q42" s="17">
        <v>0.19999998807907099</v>
      </c>
      <c r="R42" s="15">
        <f t="shared" si="4"/>
        <v>0.379999980330467</v>
      </c>
      <c r="S42" s="15">
        <f t="shared" si="5"/>
        <v>0.15916447223112634</v>
      </c>
      <c r="T42" s="15"/>
      <c r="U42" s="15"/>
    </row>
    <row r="43" spans="11:25" x14ac:dyDescent="0.2">
      <c r="K43" s="13" t="s">
        <v>45</v>
      </c>
      <c r="L43" s="17" t="s">
        <v>146</v>
      </c>
      <c r="M43" s="17">
        <v>7.1428567171096802E-2</v>
      </c>
      <c r="N43" s="17">
        <v>7.1428567171096802E-2</v>
      </c>
      <c r="O43" s="17">
        <v>7.1428567171096802E-2</v>
      </c>
      <c r="P43" s="17">
        <v>7.1428567171096802E-2</v>
      </c>
      <c r="Q43" s="17">
        <v>7.1428567171096802E-2</v>
      </c>
      <c r="R43" s="15">
        <f t="shared" si="4"/>
        <v>7.1428567171096802E-2</v>
      </c>
      <c r="S43" s="15">
        <f t="shared" si="5"/>
        <v>0</v>
      </c>
      <c r="T43" s="15"/>
      <c r="U43" s="15"/>
    </row>
    <row r="44" spans="11:25" x14ac:dyDescent="0.2">
      <c r="K44" s="13" t="s">
        <v>46</v>
      </c>
      <c r="L44" s="17" t="s">
        <v>118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5">
        <f t="shared" si="4"/>
        <v>0</v>
      </c>
      <c r="S44" s="15">
        <f t="shared" si="5"/>
        <v>0</v>
      </c>
      <c r="T44" s="15"/>
      <c r="U44" s="15"/>
    </row>
    <row r="45" spans="11:25" x14ac:dyDescent="0.2">
      <c r="K45" s="13" t="s">
        <v>47</v>
      </c>
      <c r="L45" s="17" t="s">
        <v>119</v>
      </c>
      <c r="M45" s="17">
        <v>0.863636374473571</v>
      </c>
      <c r="N45" s="17">
        <v>0.863636374473571</v>
      </c>
      <c r="O45" s="17" t="s">
        <v>120</v>
      </c>
      <c r="P45" s="17">
        <v>0.863636374473571</v>
      </c>
      <c r="Q45" s="17">
        <v>0.863636374473571</v>
      </c>
      <c r="R45" s="15">
        <f t="shared" si="4"/>
        <v>0.863636374473571</v>
      </c>
      <c r="S45" s="15">
        <f t="shared" si="5"/>
        <v>0</v>
      </c>
      <c r="T45" s="15"/>
      <c r="U45" s="15"/>
    </row>
    <row r="46" spans="11:25" x14ac:dyDescent="0.2">
      <c r="K46" s="13" t="s">
        <v>48</v>
      </c>
      <c r="L46" s="17" t="s">
        <v>121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5">
        <f t="shared" si="4"/>
        <v>0</v>
      </c>
      <c r="S46" s="15">
        <f t="shared" si="5"/>
        <v>0</v>
      </c>
      <c r="T46" s="15"/>
      <c r="U46" s="15"/>
    </row>
    <row r="47" spans="11:25" x14ac:dyDescent="0.2">
      <c r="K47" s="13" t="s">
        <v>49</v>
      </c>
      <c r="L47" s="17" t="s">
        <v>122</v>
      </c>
      <c r="M47" s="17" t="s">
        <v>123</v>
      </c>
      <c r="N47" s="17" t="s">
        <v>123</v>
      </c>
      <c r="O47" s="17" t="s">
        <v>123</v>
      </c>
      <c r="P47" s="17" t="s">
        <v>123</v>
      </c>
      <c r="Q47" s="17" t="s">
        <v>123</v>
      </c>
      <c r="R47" s="15" t="e">
        <f t="shared" si="4"/>
        <v>#DIV/0!</v>
      </c>
      <c r="S47" s="15" t="e">
        <f t="shared" si="5"/>
        <v>#DIV/0!</v>
      </c>
      <c r="T47" s="15"/>
      <c r="U47" s="15"/>
    </row>
    <row r="48" spans="11:25" x14ac:dyDescent="0.2">
      <c r="K48" s="13" t="s">
        <v>50</v>
      </c>
      <c r="L48" s="17" t="s">
        <v>124</v>
      </c>
      <c r="M48" s="17">
        <v>1</v>
      </c>
      <c r="N48" s="17">
        <v>1</v>
      </c>
      <c r="O48" s="17">
        <v>1</v>
      </c>
      <c r="P48" s="17">
        <v>1</v>
      </c>
      <c r="Q48" s="17">
        <v>1</v>
      </c>
      <c r="R48" s="15">
        <f t="shared" si="4"/>
        <v>1</v>
      </c>
      <c r="S48" s="15">
        <f t="shared" si="5"/>
        <v>0</v>
      </c>
      <c r="T48" s="15"/>
      <c r="U48" s="15"/>
    </row>
    <row r="49" spans="11:21" x14ac:dyDescent="0.2">
      <c r="K49" s="13" t="s">
        <v>51</v>
      </c>
      <c r="L49" s="17" t="s">
        <v>125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5">
        <f t="shared" si="4"/>
        <v>0</v>
      </c>
      <c r="S49" s="15">
        <f t="shared" si="5"/>
        <v>0</v>
      </c>
      <c r="T49" s="15"/>
      <c r="U49" s="15"/>
    </row>
    <row r="50" spans="11:21" x14ac:dyDescent="0.2">
      <c r="K50" s="13" t="s">
        <v>52</v>
      </c>
      <c r="L50" s="17" t="s">
        <v>126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5">
        <f t="shared" si="4"/>
        <v>0</v>
      </c>
      <c r="S50" s="15">
        <f t="shared" si="5"/>
        <v>0</v>
      </c>
      <c r="T50" s="15"/>
      <c r="U50" s="15"/>
    </row>
    <row r="51" spans="11:21" x14ac:dyDescent="0.2">
      <c r="K51" s="13" t="s">
        <v>53</v>
      </c>
      <c r="L51" s="17" t="s">
        <v>127</v>
      </c>
      <c r="M51" s="17" t="s">
        <v>123</v>
      </c>
      <c r="N51" s="17" t="s">
        <v>123</v>
      </c>
      <c r="O51" s="17" t="s">
        <v>123</v>
      </c>
      <c r="P51" s="17" t="s">
        <v>123</v>
      </c>
      <c r="Q51" s="17" t="s">
        <v>123</v>
      </c>
      <c r="R51" s="15" t="e">
        <f t="shared" si="4"/>
        <v>#DIV/0!</v>
      </c>
      <c r="S51" s="15" t="e">
        <f t="shared" si="5"/>
        <v>#DIV/0!</v>
      </c>
      <c r="T51" s="15"/>
      <c r="U51" s="15"/>
    </row>
    <row r="52" spans="11:21" x14ac:dyDescent="0.2">
      <c r="K52" s="13" t="s">
        <v>54</v>
      </c>
      <c r="L52" s="17" t="s">
        <v>128</v>
      </c>
      <c r="M52" s="17" t="s">
        <v>123</v>
      </c>
      <c r="N52" s="17" t="s">
        <v>123</v>
      </c>
      <c r="O52" s="17" t="s">
        <v>123</v>
      </c>
      <c r="P52" s="17" t="s">
        <v>123</v>
      </c>
      <c r="Q52" s="17" t="s">
        <v>123</v>
      </c>
      <c r="R52" s="15" t="e">
        <f t="shared" si="4"/>
        <v>#DIV/0!</v>
      </c>
      <c r="S52" s="15" t="e">
        <f t="shared" si="5"/>
        <v>#DIV/0!</v>
      </c>
      <c r="T52" s="15"/>
      <c r="U52" s="15"/>
    </row>
    <row r="53" spans="11:21" x14ac:dyDescent="0.2">
      <c r="K53" s="13" t="s">
        <v>55</v>
      </c>
      <c r="L53" s="17" t="s">
        <v>129</v>
      </c>
      <c r="M53" s="17" t="s">
        <v>123</v>
      </c>
      <c r="N53" s="17" t="s">
        <v>123</v>
      </c>
      <c r="O53" s="17" t="s">
        <v>123</v>
      </c>
      <c r="P53" s="17" t="s">
        <v>123</v>
      </c>
      <c r="Q53" s="17" t="s">
        <v>123</v>
      </c>
      <c r="R53" s="15" t="e">
        <f t="shared" si="4"/>
        <v>#DIV/0!</v>
      </c>
      <c r="S53" s="15" t="e">
        <f t="shared" si="5"/>
        <v>#DIV/0!</v>
      </c>
      <c r="T53" s="15"/>
      <c r="U53" s="15"/>
    </row>
    <row r="54" spans="11:21" x14ac:dyDescent="0.2">
      <c r="K54" s="13" t="s">
        <v>56</v>
      </c>
      <c r="L54" s="17" t="s">
        <v>130</v>
      </c>
      <c r="M54" s="17">
        <v>0.25</v>
      </c>
      <c r="N54" s="17">
        <v>0.25</v>
      </c>
      <c r="O54" s="17">
        <v>0.25</v>
      </c>
      <c r="P54" s="17">
        <v>0.125</v>
      </c>
      <c r="Q54" s="17">
        <v>0.25</v>
      </c>
      <c r="R54" s="15">
        <f t="shared" si="4"/>
        <v>0.22500000000000001</v>
      </c>
      <c r="S54" s="15">
        <f t="shared" si="5"/>
        <v>5.5901699437494769E-2</v>
      </c>
      <c r="T54" s="15"/>
      <c r="U54" s="15"/>
    </row>
    <row r="55" spans="11:21" x14ac:dyDescent="0.2">
      <c r="K55" s="13" t="s">
        <v>57</v>
      </c>
      <c r="L55" s="17" t="s">
        <v>131</v>
      </c>
      <c r="M55" s="17" t="s">
        <v>123</v>
      </c>
      <c r="N55" s="17" t="s">
        <v>123</v>
      </c>
      <c r="O55" s="17" t="s">
        <v>123</v>
      </c>
      <c r="P55" s="17" t="s">
        <v>123</v>
      </c>
      <c r="Q55" s="17" t="s">
        <v>123</v>
      </c>
      <c r="R55" s="15" t="e">
        <f t="shared" si="4"/>
        <v>#DIV/0!</v>
      </c>
      <c r="S55" s="15" t="e">
        <f t="shared" si="5"/>
        <v>#DIV/0!</v>
      </c>
      <c r="T55" s="15"/>
      <c r="U55" s="15"/>
    </row>
    <row r="56" spans="11:21" x14ac:dyDescent="0.2">
      <c r="K56" s="13" t="s">
        <v>58</v>
      </c>
      <c r="L56" s="17" t="s">
        <v>132</v>
      </c>
      <c r="M56" s="17" t="s">
        <v>123</v>
      </c>
      <c r="N56" s="17" t="s">
        <v>123</v>
      </c>
      <c r="O56" s="17" t="s">
        <v>123</v>
      </c>
      <c r="P56" s="17" t="s">
        <v>123</v>
      </c>
      <c r="Q56" s="17" t="s">
        <v>123</v>
      </c>
      <c r="R56" s="15" t="e">
        <f t="shared" si="4"/>
        <v>#DIV/0!</v>
      </c>
      <c r="S56" s="15" t="e">
        <f t="shared" si="5"/>
        <v>#DIV/0!</v>
      </c>
      <c r="T56" s="15"/>
      <c r="U56" s="15"/>
    </row>
    <row r="57" spans="11:21" x14ac:dyDescent="0.2">
      <c r="K57" s="13" t="s">
        <v>59</v>
      </c>
      <c r="L57" s="17" t="s">
        <v>131</v>
      </c>
      <c r="M57" s="17" t="s">
        <v>123</v>
      </c>
      <c r="N57" s="17" t="s">
        <v>123</v>
      </c>
      <c r="O57" s="17" t="s">
        <v>123</v>
      </c>
      <c r="P57" s="17" t="s">
        <v>123</v>
      </c>
      <c r="Q57" s="17" t="s">
        <v>123</v>
      </c>
      <c r="R57" s="15" t="e">
        <f t="shared" si="4"/>
        <v>#DIV/0!</v>
      </c>
      <c r="S57" s="15" t="e">
        <f t="shared" si="5"/>
        <v>#DIV/0!</v>
      </c>
      <c r="T57" s="15"/>
      <c r="U57" s="15"/>
    </row>
    <row r="58" spans="11:21" x14ac:dyDescent="0.2">
      <c r="K58" s="13" t="s">
        <v>60</v>
      </c>
      <c r="L58" s="17" t="s">
        <v>133</v>
      </c>
      <c r="M58" s="17" t="s">
        <v>123</v>
      </c>
      <c r="N58" s="17" t="s">
        <v>123</v>
      </c>
      <c r="O58" s="17" t="s">
        <v>123</v>
      </c>
      <c r="P58" s="17" t="s">
        <v>123</v>
      </c>
      <c r="Q58" s="17" t="s">
        <v>123</v>
      </c>
      <c r="R58" s="15" t="e">
        <f t="shared" si="4"/>
        <v>#DIV/0!</v>
      </c>
      <c r="S58" s="15" t="e">
        <f t="shared" si="5"/>
        <v>#DIV/0!</v>
      </c>
      <c r="T58" s="17" t="s">
        <v>135</v>
      </c>
      <c r="U58" s="15"/>
    </row>
    <row r="59" spans="11:21" x14ac:dyDescent="0.2">
      <c r="K59" s="13" t="s">
        <v>61</v>
      </c>
      <c r="L59" s="17" t="s">
        <v>134</v>
      </c>
      <c r="M59" s="17" t="s">
        <v>123</v>
      </c>
      <c r="N59" s="17" t="s">
        <v>123</v>
      </c>
      <c r="O59" s="17" t="s">
        <v>123</v>
      </c>
      <c r="P59" s="17" t="s">
        <v>123</v>
      </c>
      <c r="Q59" s="17" t="s">
        <v>123</v>
      </c>
      <c r="R59" s="15" t="e">
        <f t="shared" si="4"/>
        <v>#DIV/0!</v>
      </c>
      <c r="S59" s="15" t="e">
        <f t="shared" si="5"/>
        <v>#DIV/0!</v>
      </c>
      <c r="T59" s="15"/>
      <c r="U59" s="15"/>
    </row>
    <row r="60" spans="11:21" x14ac:dyDescent="0.2">
      <c r="K60" s="13" t="s">
        <v>62</v>
      </c>
      <c r="L60" s="17" t="s">
        <v>136</v>
      </c>
      <c r="M60" s="17">
        <v>1</v>
      </c>
      <c r="N60" s="17">
        <v>1</v>
      </c>
      <c r="O60" s="17">
        <v>1</v>
      </c>
      <c r="P60" s="17">
        <v>1</v>
      </c>
      <c r="Q60" s="17">
        <v>1</v>
      </c>
      <c r="R60" s="15">
        <f t="shared" si="4"/>
        <v>1</v>
      </c>
      <c r="S60" s="15">
        <f t="shared" si="5"/>
        <v>0</v>
      </c>
      <c r="T60" s="15"/>
      <c r="U60" s="15"/>
    </row>
    <row r="61" spans="11:21" x14ac:dyDescent="0.2">
      <c r="K61" s="13" t="s">
        <v>63</v>
      </c>
      <c r="L61" s="17" t="s">
        <v>137</v>
      </c>
      <c r="M61" s="17">
        <v>1</v>
      </c>
      <c r="N61" s="17">
        <v>1</v>
      </c>
      <c r="O61" s="17">
        <v>1</v>
      </c>
      <c r="P61" s="17">
        <v>1</v>
      </c>
      <c r="Q61" s="17">
        <v>1</v>
      </c>
      <c r="R61" s="15">
        <f t="shared" si="4"/>
        <v>1</v>
      </c>
      <c r="S61" s="15">
        <f t="shared" si="5"/>
        <v>0</v>
      </c>
      <c r="T61" s="15"/>
      <c r="U61" s="17" t="s">
        <v>82</v>
      </c>
    </row>
    <row r="62" spans="11:21" x14ac:dyDescent="0.2">
      <c r="K62" s="13" t="s">
        <v>64</v>
      </c>
      <c r="L62" s="17" t="s">
        <v>138</v>
      </c>
      <c r="M62" s="17" t="s">
        <v>123</v>
      </c>
      <c r="N62" s="17" t="s">
        <v>123</v>
      </c>
      <c r="O62" s="17" t="s">
        <v>123</v>
      </c>
      <c r="P62" s="17" t="s">
        <v>123</v>
      </c>
      <c r="Q62" s="17" t="s">
        <v>123</v>
      </c>
      <c r="R62" s="15" t="e">
        <f t="shared" si="4"/>
        <v>#DIV/0!</v>
      </c>
      <c r="S62" s="15" t="e">
        <f t="shared" si="5"/>
        <v>#DIV/0!</v>
      </c>
      <c r="T62" s="15"/>
      <c r="U62" s="15"/>
    </row>
    <row r="63" spans="11:21" x14ac:dyDescent="0.2">
      <c r="K63" s="13" t="s">
        <v>65</v>
      </c>
      <c r="L63" s="17" t="s">
        <v>139</v>
      </c>
      <c r="M63" s="17" t="s">
        <v>123</v>
      </c>
      <c r="N63" s="17" t="s">
        <v>123</v>
      </c>
      <c r="O63" s="17" t="s">
        <v>123</v>
      </c>
      <c r="P63" s="17" t="s">
        <v>123</v>
      </c>
      <c r="Q63" s="17" t="s">
        <v>123</v>
      </c>
      <c r="R63" s="15" t="e">
        <f t="shared" si="4"/>
        <v>#DIV/0!</v>
      </c>
      <c r="S63" s="15" t="e">
        <f t="shared" si="5"/>
        <v>#DIV/0!</v>
      </c>
      <c r="T63" s="15"/>
      <c r="U63" s="15"/>
    </row>
    <row r="64" spans="11:21" x14ac:dyDescent="0.2">
      <c r="K64" s="13" t="s">
        <v>66</v>
      </c>
      <c r="L64" s="17" t="s">
        <v>140</v>
      </c>
      <c r="M64" s="15"/>
      <c r="N64" s="15"/>
      <c r="O64" s="15"/>
      <c r="P64" s="15"/>
      <c r="Q64" s="15"/>
      <c r="R64" s="15" t="e">
        <f t="shared" si="4"/>
        <v>#DIV/0!</v>
      </c>
      <c r="S64" s="15" t="e">
        <f t="shared" si="5"/>
        <v>#DIV/0!</v>
      </c>
      <c r="T64" s="15"/>
      <c r="U64" s="15"/>
    </row>
    <row r="65" spans="11:21" x14ac:dyDescent="0.2">
      <c r="K65" s="13" t="s">
        <v>67</v>
      </c>
      <c r="L65" s="17" t="s">
        <v>141</v>
      </c>
      <c r="M65" s="17">
        <v>0</v>
      </c>
      <c r="N65" s="15"/>
      <c r="O65" s="15"/>
      <c r="P65" s="15"/>
      <c r="Q65" s="15"/>
      <c r="R65" s="15">
        <f t="shared" si="4"/>
        <v>0</v>
      </c>
      <c r="S65" s="15" t="e">
        <f t="shared" si="5"/>
        <v>#DIV/0!</v>
      </c>
      <c r="T65" s="15"/>
      <c r="U65" s="15"/>
    </row>
    <row r="66" spans="11:21" x14ac:dyDescent="0.2">
      <c r="K66" s="13" t="s">
        <v>68</v>
      </c>
      <c r="L66" s="17" t="s">
        <v>142</v>
      </c>
      <c r="M66" s="15"/>
      <c r="N66" s="15"/>
      <c r="O66" s="15"/>
      <c r="P66" s="15"/>
      <c r="Q66" s="15"/>
      <c r="R66" s="15" t="e">
        <f t="shared" si="4"/>
        <v>#DIV/0!</v>
      </c>
      <c r="S66" s="15" t="e">
        <f t="shared" si="5"/>
        <v>#DIV/0!</v>
      </c>
      <c r="T66" s="15"/>
      <c r="U66" s="15"/>
    </row>
    <row r="67" spans="11:21" x14ac:dyDescent="0.2">
      <c r="K67" s="13" t="s">
        <v>69</v>
      </c>
      <c r="L67" s="17" t="s">
        <v>143</v>
      </c>
      <c r="M67" s="15"/>
      <c r="N67" s="15"/>
      <c r="O67" s="15"/>
      <c r="P67" s="15"/>
      <c r="Q67" s="15"/>
      <c r="R67" s="15" t="e">
        <f t="shared" si="4"/>
        <v>#DIV/0!</v>
      </c>
      <c r="S67" s="15" t="e">
        <f t="shared" si="5"/>
        <v>#DIV/0!</v>
      </c>
      <c r="T67" s="15"/>
      <c r="U67" s="15"/>
    </row>
    <row r="68" spans="11:21" x14ac:dyDescent="0.2">
      <c r="K68" s="13" t="s">
        <v>70</v>
      </c>
      <c r="L68" s="17" t="s">
        <v>144</v>
      </c>
      <c r="M68" s="15"/>
      <c r="N68" s="15"/>
      <c r="O68" s="15"/>
      <c r="P68" s="15"/>
      <c r="Q68" s="15"/>
      <c r="R68" s="15" t="e">
        <f t="shared" si="4"/>
        <v>#DIV/0!</v>
      </c>
      <c r="S68" s="15" t="e">
        <f t="shared" si="5"/>
        <v>#DIV/0!</v>
      </c>
      <c r="T68" s="17" t="s">
        <v>145</v>
      </c>
      <c r="U68" s="15"/>
    </row>
    <row r="69" spans="11:21" x14ac:dyDescent="0.2">
      <c r="K69" s="13" t="s">
        <v>71</v>
      </c>
      <c r="L69" s="17" t="s">
        <v>143</v>
      </c>
      <c r="M69" s="15"/>
      <c r="N69" s="15"/>
      <c r="O69" s="15"/>
      <c r="P69" s="15"/>
      <c r="Q69" s="15"/>
      <c r="R69" s="15" t="e">
        <f t="shared" si="4"/>
        <v>#DIV/0!</v>
      </c>
      <c r="S69" s="15" t="e">
        <f t="shared" si="5"/>
        <v>#DIV/0!</v>
      </c>
      <c r="T69" s="15"/>
      <c r="U69" s="15"/>
    </row>
    <row r="70" spans="11:21" x14ac:dyDescent="0.2">
      <c r="K70" s="13" t="s">
        <v>72</v>
      </c>
      <c r="L70" s="13"/>
      <c r="M70" s="15"/>
      <c r="N70" s="15"/>
      <c r="O70" s="15"/>
      <c r="P70" s="15"/>
      <c r="Q70" s="15"/>
      <c r="R70" s="15" t="e">
        <f t="shared" si="4"/>
        <v>#DIV/0!</v>
      </c>
      <c r="S70" s="15" t="e">
        <f t="shared" si="5"/>
        <v>#DIV/0!</v>
      </c>
      <c r="T70" s="15"/>
      <c r="U70" s="15"/>
    </row>
    <row r="71" spans="11:21" x14ac:dyDescent="0.2">
      <c r="K71" s="13" t="s">
        <v>73</v>
      </c>
      <c r="L71" s="13"/>
      <c r="M71" s="15"/>
      <c r="N71" s="15"/>
      <c r="O71" s="15"/>
      <c r="P71" s="15"/>
      <c r="Q71" s="15"/>
      <c r="R71" s="15" t="e">
        <f t="shared" si="4"/>
        <v>#DIV/0!</v>
      </c>
      <c r="S71" s="15" t="e">
        <f t="shared" si="5"/>
        <v>#DIV/0!</v>
      </c>
      <c r="T71" s="15"/>
      <c r="U71" s="15"/>
    </row>
    <row r="72" spans="11:21" x14ac:dyDescent="0.2">
      <c r="K72" s="13" t="s">
        <v>74</v>
      </c>
      <c r="L72" s="13"/>
      <c r="M72" s="15"/>
      <c r="N72" s="15"/>
      <c r="O72" s="15"/>
      <c r="P72" s="15"/>
      <c r="Q72" s="15"/>
      <c r="R72" s="15" t="e">
        <f t="shared" si="4"/>
        <v>#DIV/0!</v>
      </c>
      <c r="S72" s="15" t="e">
        <f t="shared" si="5"/>
        <v>#DIV/0!</v>
      </c>
      <c r="T72" s="15"/>
      <c r="U72" s="15"/>
    </row>
    <row r="73" spans="11:21" x14ac:dyDescent="0.2">
      <c r="K73" s="13" t="s">
        <v>75</v>
      </c>
      <c r="L73" s="13"/>
      <c r="M73" s="15"/>
      <c r="N73" s="15"/>
      <c r="O73" s="15"/>
      <c r="P73" s="15"/>
      <c r="Q73" s="15"/>
      <c r="R73" s="15" t="e">
        <f t="shared" si="4"/>
        <v>#DIV/0!</v>
      </c>
      <c r="S73" s="15" t="e">
        <f t="shared" si="5"/>
        <v>#DIV/0!</v>
      </c>
      <c r="T73" s="15"/>
      <c r="U73" s="15"/>
    </row>
    <row r="74" spans="11:21" x14ac:dyDescent="0.2">
      <c r="K74" s="13" t="s">
        <v>76</v>
      </c>
      <c r="L74" s="13"/>
      <c r="M74" s="15"/>
      <c r="N74" s="15"/>
      <c r="O74" s="15"/>
      <c r="P74" s="15"/>
      <c r="Q74" s="15"/>
      <c r="R74" s="15" t="e">
        <f t="shared" si="4"/>
        <v>#DIV/0!</v>
      </c>
      <c r="S74" s="15" t="e">
        <f t="shared" si="5"/>
        <v>#DIV/0!</v>
      </c>
      <c r="T74" s="15"/>
      <c r="U74" s="15"/>
    </row>
    <row r="75" spans="11:21" x14ac:dyDescent="0.2">
      <c r="K75" s="13" t="s">
        <v>77</v>
      </c>
      <c r="L75" s="13"/>
      <c r="M75" s="15"/>
      <c r="N75" s="15"/>
      <c r="O75" s="15"/>
      <c r="P75" s="15"/>
      <c r="Q75" s="15"/>
      <c r="R75" s="15" t="e">
        <f t="shared" si="4"/>
        <v>#DIV/0!</v>
      </c>
      <c r="S75" s="15" t="e">
        <f t="shared" si="5"/>
        <v>#DIV/0!</v>
      </c>
      <c r="T75" s="15"/>
      <c r="U75" s="15"/>
    </row>
    <row r="76" spans="11:21" x14ac:dyDescent="0.2">
      <c r="K76" s="13" t="s">
        <v>78</v>
      </c>
      <c r="L76" s="13"/>
      <c r="M76" s="15"/>
      <c r="N76" s="15"/>
      <c r="O76" s="15"/>
      <c r="P76" s="15"/>
      <c r="Q76" s="15"/>
      <c r="R76" s="15" t="e">
        <f t="shared" si="4"/>
        <v>#DIV/0!</v>
      </c>
      <c r="S76" s="15" t="e">
        <f t="shared" si="5"/>
        <v>#DIV/0!</v>
      </c>
      <c r="T76" s="15"/>
      <c r="U76" s="15"/>
    </row>
    <row r="77" spans="11:21" x14ac:dyDescent="0.2">
      <c r="K77" s="13" t="s">
        <v>79</v>
      </c>
      <c r="L77" s="13"/>
      <c r="M77" s="15"/>
      <c r="N77" s="15"/>
      <c r="O77" s="15"/>
      <c r="P77" s="15"/>
      <c r="Q77" s="15"/>
      <c r="R77" s="15" t="e">
        <f t="shared" si="4"/>
        <v>#DIV/0!</v>
      </c>
      <c r="S77" s="15" t="e">
        <f t="shared" si="5"/>
        <v>#DIV/0!</v>
      </c>
      <c r="T77" s="15"/>
      <c r="U77" s="15"/>
    </row>
    <row r="78" spans="11:21" x14ac:dyDescent="0.2">
      <c r="K78" s="13" t="s">
        <v>80</v>
      </c>
      <c r="L78" s="13"/>
      <c r="M78" s="15"/>
      <c r="N78" s="15"/>
      <c r="O78" s="15"/>
      <c r="P78" s="15"/>
      <c r="Q78" s="15"/>
      <c r="R78" s="15" t="e">
        <f t="shared" si="4"/>
        <v>#DIV/0!</v>
      </c>
      <c r="S78" s="15" t="e">
        <f t="shared" si="5"/>
        <v>#DIV/0!</v>
      </c>
      <c r="T78" s="15"/>
      <c r="U78" s="15"/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F041-54DE-6043-BF91-F07794CA0CCC}">
  <dimension ref="B2:Y80"/>
  <sheetViews>
    <sheetView topLeftCell="B2" workbookViewId="0">
      <selection activeCell="S17" sqref="S17"/>
    </sheetView>
  </sheetViews>
  <sheetFormatPr baseColWidth="10" defaultRowHeight="16" x14ac:dyDescent="0.2"/>
  <cols>
    <col min="2" max="2" width="11" customWidth="1"/>
    <col min="12" max="12" width="17" customWidth="1"/>
  </cols>
  <sheetData>
    <row r="2" spans="2:25" x14ac:dyDescent="0.2">
      <c r="B2" s="2" t="s">
        <v>14</v>
      </c>
      <c r="C2" s="1"/>
      <c r="D2" s="1"/>
      <c r="E2" s="1"/>
      <c r="F2" s="1"/>
      <c r="G2" s="1"/>
      <c r="H2" s="1"/>
      <c r="I2" s="1"/>
      <c r="K2" s="3" t="s">
        <v>15</v>
      </c>
      <c r="L2" s="4"/>
      <c r="M2" s="4"/>
      <c r="N2" s="4"/>
      <c r="O2" s="4"/>
      <c r="P2" s="4"/>
      <c r="Q2" s="4"/>
      <c r="R2" s="4"/>
    </row>
    <row r="3" spans="2:25" x14ac:dyDescent="0.2"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1"/>
      <c r="I3" s="1"/>
      <c r="K3" s="3" t="s">
        <v>5</v>
      </c>
      <c r="L3" s="3" t="s">
        <v>6</v>
      </c>
      <c r="M3" s="3" t="s">
        <v>7</v>
      </c>
      <c r="N3" s="3" t="s">
        <v>8</v>
      </c>
      <c r="O3" s="3" t="s">
        <v>9</v>
      </c>
      <c r="P3" s="3" t="s">
        <v>10</v>
      </c>
      <c r="Q3" s="9"/>
      <c r="R3" s="4"/>
    </row>
    <row r="4" spans="2:25" x14ac:dyDescent="0.2">
      <c r="B4" s="2" t="s">
        <v>0</v>
      </c>
      <c r="C4" s="9">
        <v>0.60621517896652199</v>
      </c>
      <c r="D4" s="9">
        <v>0.66179281473159701</v>
      </c>
      <c r="E4" s="9">
        <v>0.61278247833251898</v>
      </c>
      <c r="F4" s="9">
        <v>0.64175564050674405</v>
      </c>
      <c r="G4" s="9">
        <v>0.70237004756927401</v>
      </c>
      <c r="H4" s="9"/>
      <c r="I4" s="1"/>
      <c r="K4" s="3" t="s">
        <v>0</v>
      </c>
      <c r="L4" s="9">
        <v>1.0592677593231199</v>
      </c>
      <c r="M4" s="9">
        <v>0.90098053216934204</v>
      </c>
      <c r="N4" s="9">
        <v>0.87375080585479703</v>
      </c>
      <c r="O4" s="9">
        <v>0.86971110105514504</v>
      </c>
      <c r="P4" s="9">
        <v>0.87613809108734098</v>
      </c>
      <c r="Q4" s="4"/>
      <c r="R4" s="11"/>
    </row>
    <row r="5" spans="2:25" x14ac:dyDescent="0.2">
      <c r="B5" s="2" t="s">
        <v>1</v>
      </c>
      <c r="C5" s="9">
        <v>0.61089169979095403</v>
      </c>
      <c r="D5" s="9">
        <v>0.71858197450637795</v>
      </c>
      <c r="E5" s="9">
        <v>0.65648061037063599</v>
      </c>
      <c r="F5" s="9">
        <v>0.66870021820068304</v>
      </c>
      <c r="G5" s="9">
        <v>0.68668693304061801</v>
      </c>
      <c r="H5" s="1"/>
      <c r="I5" s="1"/>
      <c r="K5" s="3" t="s">
        <v>1</v>
      </c>
      <c r="L5" s="9">
        <v>0.95404368638992298</v>
      </c>
      <c r="M5" s="9">
        <v>0.87997245788574197</v>
      </c>
      <c r="N5" s="9">
        <v>0.85636675357818604</v>
      </c>
      <c r="O5" s="9">
        <v>0.86315387487411499</v>
      </c>
      <c r="P5" s="9">
        <v>0.87565976381301802</v>
      </c>
      <c r="Q5" s="4"/>
      <c r="R5" s="4"/>
    </row>
    <row r="6" spans="2:25" x14ac:dyDescent="0.2">
      <c r="B6" s="2" t="s">
        <v>2</v>
      </c>
      <c r="C6" s="9">
        <v>0.55745506286621005</v>
      </c>
      <c r="D6" s="9">
        <v>0.66121268272399902</v>
      </c>
      <c r="E6" s="9">
        <v>0.60885202884673995</v>
      </c>
      <c r="F6" s="9">
        <v>0.58999729156494096</v>
      </c>
      <c r="G6" s="9">
        <v>0.70267421007156305</v>
      </c>
      <c r="H6" s="1"/>
      <c r="I6" s="1"/>
      <c r="K6" s="3" t="s">
        <v>2</v>
      </c>
      <c r="L6" s="9">
        <v>0.97340959310531605</v>
      </c>
      <c r="M6" s="9">
        <v>0.88219279050827004</v>
      </c>
      <c r="N6" s="9">
        <v>0.87167322635650601</v>
      </c>
      <c r="O6" s="9">
        <v>0.87489211559295599</v>
      </c>
      <c r="P6" s="9">
        <v>0.87857460975646895</v>
      </c>
      <c r="Q6" s="4"/>
      <c r="R6" s="4"/>
    </row>
    <row r="7" spans="2:25" x14ac:dyDescent="0.2">
      <c r="B7" s="2" t="s">
        <v>3</v>
      </c>
      <c r="C7" s="9">
        <v>0.56174135208129805</v>
      </c>
      <c r="D7" s="9">
        <v>0.67929226160049405</v>
      </c>
      <c r="E7" s="9">
        <v>0.67647951841354304</v>
      </c>
      <c r="F7" s="9">
        <v>0.59282165765762296</v>
      </c>
      <c r="G7" s="9">
        <v>0.71771204471588101</v>
      </c>
      <c r="H7" s="1"/>
      <c r="I7" s="1"/>
      <c r="K7" s="3" t="s">
        <v>3</v>
      </c>
      <c r="L7" s="9">
        <v>0.87740582227706898</v>
      </c>
      <c r="M7" s="9">
        <v>0.92002683877944902</v>
      </c>
      <c r="N7" s="9">
        <v>0.88993924856185902</v>
      </c>
      <c r="O7" s="9">
        <v>0.90422540903091397</v>
      </c>
      <c r="P7" s="9">
        <v>0.91624987125396695</v>
      </c>
      <c r="Q7" s="4"/>
      <c r="R7" s="4"/>
    </row>
    <row r="8" spans="2:25" x14ac:dyDescent="0.2">
      <c r="B8" s="2" t="s">
        <v>4</v>
      </c>
      <c r="C8" s="9">
        <v>0.65944820642471302</v>
      </c>
      <c r="D8" s="9">
        <v>0.66608721017837502</v>
      </c>
      <c r="E8" s="9">
        <v>0.63873106241226196</v>
      </c>
      <c r="F8" s="9">
        <v>0.63391917943954401</v>
      </c>
      <c r="G8" s="9">
        <v>0.70529049634933405</v>
      </c>
      <c r="H8" s="1"/>
      <c r="I8" s="1"/>
      <c r="K8" s="3" t="s">
        <v>4</v>
      </c>
      <c r="L8" s="9">
        <v>1.02911269664764</v>
      </c>
      <c r="M8" s="9">
        <v>0.94674348831176702</v>
      </c>
      <c r="N8" s="9">
        <v>0.87724107503890902</v>
      </c>
      <c r="O8" s="9">
        <v>0.87538856267928999</v>
      </c>
      <c r="P8" s="9">
        <v>0.90179979801177901</v>
      </c>
      <c r="Q8" s="4"/>
      <c r="R8" s="4"/>
    </row>
    <row r="9" spans="2:25" x14ac:dyDescent="0.2">
      <c r="B9" s="2" t="s">
        <v>11</v>
      </c>
      <c r="C9" s="1">
        <f>AVERAGE(C4:C8)</f>
        <v>0.59915030002593939</v>
      </c>
      <c r="D9" s="1">
        <f t="shared" ref="D9:G9" si="0">AVERAGE(D4:D8)</f>
        <v>0.67739338874816857</v>
      </c>
      <c r="E9" s="1">
        <f t="shared" si="0"/>
        <v>0.63866513967514005</v>
      </c>
      <c r="F9" s="1">
        <f t="shared" si="0"/>
        <v>0.62543879747390696</v>
      </c>
      <c r="G9" s="1">
        <f t="shared" si="0"/>
        <v>0.70294674634933396</v>
      </c>
      <c r="H9" s="2" t="s">
        <v>13</v>
      </c>
      <c r="I9" s="2">
        <f>AVERAGE(C4:G8)</f>
        <v>0.64871887445449805</v>
      </c>
      <c r="K9" s="3" t="s">
        <v>11</v>
      </c>
      <c r="L9" s="4">
        <f>AVERAGE(L4:L8)</f>
        <v>0.97864791154861364</v>
      </c>
      <c r="M9" s="4">
        <f>AVERAGE(M4:M8)</f>
        <v>0.90598322153091393</v>
      </c>
      <c r="N9" s="4">
        <f t="shared" ref="N9:P9" si="1">AVERAGE(N4:N8)</f>
        <v>0.87379422187805145</v>
      </c>
      <c r="O9" s="4">
        <f t="shared" si="1"/>
        <v>0.87747421264648406</v>
      </c>
      <c r="P9" s="4">
        <f t="shared" si="1"/>
        <v>0.88968442678451487</v>
      </c>
      <c r="Q9" s="3" t="s">
        <v>13</v>
      </c>
      <c r="R9" s="3">
        <f>AVERAGE(L4:P8)</f>
        <v>0.9051167988777159</v>
      </c>
    </row>
    <row r="10" spans="2:25" x14ac:dyDescent="0.2">
      <c r="B10" s="2" t="s">
        <v>12</v>
      </c>
      <c r="C10" s="1">
        <f>STDEV(C4:C8)</f>
        <v>4.1717899896486881E-2</v>
      </c>
      <c r="D10" s="1">
        <f t="shared" ref="D10:G10" si="2">STDEV(D4:D8)</f>
        <v>2.4151232607311425E-2</v>
      </c>
      <c r="E10" s="1">
        <f t="shared" si="2"/>
        <v>2.8749157886466894E-2</v>
      </c>
      <c r="F10" s="1">
        <f t="shared" si="2"/>
        <v>3.3651466977795967E-2</v>
      </c>
      <c r="G10" s="1">
        <f t="shared" si="2"/>
        <v>1.1048705651065849E-2</v>
      </c>
      <c r="H10" s="2" t="s">
        <v>12</v>
      </c>
      <c r="I10" s="2">
        <f>STDEV(C4:G8)</f>
        <v>4.6517721823065301E-2</v>
      </c>
      <c r="K10" s="3" t="s">
        <v>12</v>
      </c>
      <c r="L10" s="4">
        <f>STDEV(L4:L8)</f>
        <v>7.0585095640148837E-2</v>
      </c>
      <c r="M10" s="4">
        <f>STDEV(M4:M8)</f>
        <v>2.7956188348763809E-2</v>
      </c>
      <c r="N10" s="4">
        <f t="shared" ref="N10:P10" si="3">STDEV(N4:N8)</f>
        <v>1.2049479673721157E-2</v>
      </c>
      <c r="O10" s="4">
        <f t="shared" si="3"/>
        <v>1.5747870050201659E-2</v>
      </c>
      <c r="P10" s="4">
        <f t="shared" si="3"/>
        <v>1.8412818065923695E-2</v>
      </c>
      <c r="Q10" s="3" t="s">
        <v>12</v>
      </c>
      <c r="R10" s="3">
        <f>STDEV(L4:P8)</f>
        <v>5.1209876322118569E-2</v>
      </c>
    </row>
    <row r="11" spans="2:25" x14ac:dyDescent="0.2">
      <c r="B11" s="1"/>
      <c r="C11" s="1"/>
      <c r="D11" s="1"/>
      <c r="E11" s="1"/>
      <c r="F11" s="1"/>
      <c r="G11" s="1"/>
      <c r="H11" s="1"/>
      <c r="I11" s="1"/>
      <c r="K11" s="4"/>
      <c r="L11" s="4"/>
      <c r="M11" s="4"/>
      <c r="N11" s="4"/>
      <c r="O11" s="4"/>
      <c r="P11" s="4"/>
      <c r="Q11" s="4"/>
      <c r="R11" s="4"/>
    </row>
    <row r="15" spans="2:25" x14ac:dyDescent="0.2">
      <c r="B15" s="5" t="s">
        <v>16</v>
      </c>
      <c r="C15" s="6"/>
      <c r="D15" s="6"/>
      <c r="E15" s="6"/>
      <c r="F15" s="6"/>
      <c r="G15" s="6"/>
      <c r="H15" s="6"/>
      <c r="I15" s="6"/>
      <c r="K15" s="7" t="s">
        <v>17</v>
      </c>
      <c r="L15" s="7"/>
      <c r="M15" s="8"/>
      <c r="N15" s="8"/>
      <c r="O15" s="8"/>
      <c r="P15" s="8"/>
      <c r="Q15" s="8"/>
      <c r="R15" s="8"/>
      <c r="S15" s="8"/>
      <c r="T15" s="8"/>
      <c r="U15" s="8"/>
      <c r="W15" s="20" t="s">
        <v>291</v>
      </c>
      <c r="X15" s="20" t="s">
        <v>5</v>
      </c>
      <c r="Y15" s="20" t="s">
        <v>12</v>
      </c>
    </row>
    <row r="16" spans="2:25" x14ac:dyDescent="0.2">
      <c r="B16" s="5" t="s">
        <v>5</v>
      </c>
      <c r="C16" s="5" t="s">
        <v>6</v>
      </c>
      <c r="D16" s="5" t="s">
        <v>7</v>
      </c>
      <c r="E16" s="5" t="s">
        <v>8</v>
      </c>
      <c r="F16" s="5" t="s">
        <v>9</v>
      </c>
      <c r="G16" s="5" t="s">
        <v>10</v>
      </c>
      <c r="H16" s="9"/>
      <c r="I16" s="6"/>
      <c r="K16" s="7" t="s">
        <v>5</v>
      </c>
      <c r="L16" s="7" t="s">
        <v>83</v>
      </c>
      <c r="M16" s="7" t="s">
        <v>0</v>
      </c>
      <c r="N16" s="7" t="s">
        <v>1</v>
      </c>
      <c r="O16" s="7" t="s">
        <v>2</v>
      </c>
      <c r="P16" s="7" t="s">
        <v>3</v>
      </c>
      <c r="Q16" s="7" t="s">
        <v>4</v>
      </c>
      <c r="R16" s="7" t="s">
        <v>11</v>
      </c>
      <c r="S16" s="7" t="s">
        <v>12</v>
      </c>
      <c r="T16" s="9" t="s">
        <v>334</v>
      </c>
      <c r="U16" s="8"/>
      <c r="W16" s="20">
        <v>0</v>
      </c>
      <c r="X16" s="20">
        <f>AVERAGE(R17:R19)</f>
        <v>0.61434939569897073</v>
      </c>
      <c r="Y16" s="20">
        <f>AVERAGE(S17:S19)</f>
        <v>1.9092341441637257E-2</v>
      </c>
    </row>
    <row r="17" spans="2:25" x14ac:dyDescent="0.2">
      <c r="B17" s="5" t="s">
        <v>0</v>
      </c>
      <c r="C17" s="9">
        <v>1.05665719509124</v>
      </c>
      <c r="D17" s="9">
        <v>0.85614889860153198</v>
      </c>
      <c r="E17" s="9">
        <v>0.80748748779296797</v>
      </c>
      <c r="F17" s="9">
        <v>0.58941757678985596</v>
      </c>
      <c r="G17" s="9">
        <v>0.83578199148178101</v>
      </c>
      <c r="H17" s="6"/>
      <c r="I17" s="12"/>
      <c r="K17" s="7" t="s">
        <v>18</v>
      </c>
      <c r="L17" s="9" t="s">
        <v>331</v>
      </c>
      <c r="M17" s="9" t="s">
        <v>332</v>
      </c>
      <c r="N17" s="9" t="s">
        <v>333</v>
      </c>
      <c r="O17" s="9">
        <v>0.58818364143371504</v>
      </c>
      <c r="P17" s="9">
        <v>0.55957174301147405</v>
      </c>
      <c r="Q17" s="9">
        <v>0.55589854717254605</v>
      </c>
      <c r="R17" s="8">
        <f>AVERAGE(M17:Q17)</f>
        <v>0.56788464387257831</v>
      </c>
      <c r="S17" s="8">
        <f>STDEV(M17:Q17)</f>
        <v>1.7675125697093459E-2</v>
      </c>
      <c r="T17" s="8"/>
      <c r="U17" s="10"/>
      <c r="W17" s="20">
        <v>0.05</v>
      </c>
      <c r="X17" s="20">
        <f>AVERAGE(R20:R22)</f>
        <v>0.66952699422836259</v>
      </c>
      <c r="Y17" s="20">
        <f>AVERAGE(S20:S22)</f>
        <v>3.6609466899614189E-2</v>
      </c>
    </row>
    <row r="18" spans="2:25" x14ac:dyDescent="0.2">
      <c r="B18" s="5" t="s">
        <v>1</v>
      </c>
      <c r="C18" s="9">
        <v>0.98117268085479703</v>
      </c>
      <c r="D18" s="9">
        <v>0.81496042013168302</v>
      </c>
      <c r="E18" s="9">
        <v>0.94822776317596402</v>
      </c>
      <c r="F18" s="9">
        <v>0.57403391599655096</v>
      </c>
      <c r="G18" s="9">
        <v>0.81020814180374101</v>
      </c>
      <c r="H18" s="6"/>
      <c r="I18" s="6"/>
      <c r="K18" s="7" t="s">
        <v>19</v>
      </c>
      <c r="L18" s="9" t="s">
        <v>331</v>
      </c>
      <c r="M18" s="9">
        <v>0.61980855464935303</v>
      </c>
      <c r="N18" s="9">
        <v>0.62761723995208696</v>
      </c>
      <c r="O18" s="9">
        <v>0.602425336837768</v>
      </c>
      <c r="P18" s="9">
        <v>0.61205762624740601</v>
      </c>
      <c r="Q18" s="9">
        <v>0.63232326507568304</v>
      </c>
      <c r="R18" s="8">
        <f t="shared" ref="R18:R79" si="4">AVERAGE(M18:Q18)</f>
        <v>0.61884640455245943</v>
      </c>
      <c r="S18" s="8">
        <f t="shared" ref="S18:S79" si="5">STDEV(M18:Q18)</f>
        <v>1.1991851730908575E-2</v>
      </c>
      <c r="T18" s="8"/>
      <c r="U18" s="8"/>
      <c r="W18" s="20">
        <v>0.1</v>
      </c>
      <c r="X18" s="20">
        <f>AVERAGE(R23:R25)</f>
        <v>0.94169093370437418</v>
      </c>
      <c r="Y18" s="20">
        <f>AVERAGE(S23:S25)</f>
        <v>6.3627302809225683E-2</v>
      </c>
    </row>
    <row r="19" spans="2:25" x14ac:dyDescent="0.2">
      <c r="B19" s="5" t="s">
        <v>2</v>
      </c>
      <c r="C19" s="9">
        <v>1.0133690834045399</v>
      </c>
      <c r="D19" s="9">
        <v>0.82881224155426003</v>
      </c>
      <c r="E19" s="9">
        <v>0.91696512699127197</v>
      </c>
      <c r="F19" s="9">
        <v>0.62126958370208696</v>
      </c>
      <c r="G19" s="9">
        <v>0.78269672393798795</v>
      </c>
      <c r="H19" s="6"/>
      <c r="I19" s="6"/>
      <c r="K19" s="7" t="s">
        <v>20</v>
      </c>
      <c r="L19" s="9" t="s">
        <v>331</v>
      </c>
      <c r="M19" s="9">
        <v>0.69925051927566495</v>
      </c>
      <c r="N19" s="9">
        <v>0.66779869794845503</v>
      </c>
      <c r="O19" s="9">
        <v>0.63068115711212103</v>
      </c>
      <c r="P19" s="9">
        <v>0.640736103057861</v>
      </c>
      <c r="Q19" s="9">
        <v>0.643119215965271</v>
      </c>
      <c r="R19" s="8">
        <f t="shared" si="4"/>
        <v>0.65631713867187458</v>
      </c>
      <c r="S19" s="8">
        <f t="shared" si="5"/>
        <v>2.7610046896909737E-2</v>
      </c>
      <c r="T19" s="8"/>
      <c r="U19" s="8"/>
      <c r="W19" s="20">
        <v>0.15</v>
      </c>
      <c r="X19" s="20">
        <f>AVERAGE(R26:R28)</f>
        <v>1.3996703942616742</v>
      </c>
      <c r="Y19" s="20">
        <f>AVERAGE(S26:S28)</f>
        <v>0.29354310612717888</v>
      </c>
    </row>
    <row r="20" spans="2:25" x14ac:dyDescent="0.2">
      <c r="B20" s="5" t="s">
        <v>3</v>
      </c>
      <c r="C20" s="9">
        <v>1.1041337251663199</v>
      </c>
      <c r="D20" s="9">
        <v>0.79977536201476995</v>
      </c>
      <c r="E20" s="9">
        <v>0.87289601564407304</v>
      </c>
      <c r="F20" s="9">
        <v>0.59474700689315796</v>
      </c>
      <c r="G20" s="9">
        <v>0.87900120019912698</v>
      </c>
      <c r="H20" s="6"/>
      <c r="I20" s="6"/>
      <c r="K20" s="7" t="s">
        <v>21</v>
      </c>
      <c r="L20" s="9" t="s">
        <v>335</v>
      </c>
      <c r="M20" s="9">
        <v>0.629763424396514</v>
      </c>
      <c r="N20" s="9">
        <v>0.63331282138824396</v>
      </c>
      <c r="O20" s="9">
        <v>0.62708944082260099</v>
      </c>
      <c r="P20" s="9">
        <v>0.62091434001922596</v>
      </c>
      <c r="Q20" s="9">
        <v>0.70550668239593495</v>
      </c>
      <c r="R20" s="8">
        <f t="shared" si="4"/>
        <v>0.64331734180450406</v>
      </c>
      <c r="S20" s="8">
        <f t="shared" si="5"/>
        <v>3.5059066046917879E-2</v>
      </c>
      <c r="T20" s="8"/>
      <c r="U20" s="8"/>
      <c r="W20" s="20">
        <v>0.2</v>
      </c>
      <c r="X20" s="20">
        <f>AVERAGE(R29:R31)</f>
        <v>1.2227972030639604</v>
      </c>
      <c r="Y20" s="20">
        <f>AVERAGE(S29:S31)</f>
        <v>0.11399354904527693</v>
      </c>
    </row>
    <row r="21" spans="2:25" x14ac:dyDescent="0.2">
      <c r="B21" s="5" t="s">
        <v>4</v>
      </c>
      <c r="C21" s="9">
        <v>0.95744228363037098</v>
      </c>
      <c r="D21" s="9">
        <v>0.85851860046386697</v>
      </c>
      <c r="E21" s="9">
        <v>0.80446368455886796</v>
      </c>
      <c r="F21" s="9">
        <v>0.604683578014373</v>
      </c>
      <c r="G21" s="9">
        <v>0.80549257993698098</v>
      </c>
      <c r="H21" s="6"/>
      <c r="I21" s="6"/>
      <c r="K21" s="7" t="s">
        <v>22</v>
      </c>
      <c r="L21" s="9" t="s">
        <v>336</v>
      </c>
      <c r="M21" s="9">
        <v>0.78511726856231601</v>
      </c>
      <c r="N21" s="9">
        <v>0.71434527635574296</v>
      </c>
      <c r="O21" s="9">
        <v>0.73480582237243597</v>
      </c>
      <c r="P21" s="9">
        <v>0.83415269851684504</v>
      </c>
      <c r="Q21" s="9">
        <v>0.71202617883682195</v>
      </c>
      <c r="R21" s="8">
        <f t="shared" si="4"/>
        <v>0.75608944892883234</v>
      </c>
      <c r="S21" s="8">
        <f t="shared" si="5"/>
        <v>5.2615648155562737E-2</v>
      </c>
      <c r="T21" s="8"/>
      <c r="U21" s="8"/>
      <c r="W21" s="20">
        <v>0.25</v>
      </c>
      <c r="X21" s="20">
        <f>AVERAGE(R32:R34)</f>
        <v>1.5962316751480055</v>
      </c>
      <c r="Y21" s="20">
        <f>AVERAGE(S32:S34)</f>
        <v>0.274492248786606</v>
      </c>
    </row>
    <row r="22" spans="2:25" x14ac:dyDescent="0.2">
      <c r="B22" s="5" t="s">
        <v>11</v>
      </c>
      <c r="C22" s="6">
        <f>AVERAGE(C17:C21)</f>
        <v>1.0225549936294536</v>
      </c>
      <c r="D22" s="6">
        <f t="shared" ref="D22:G22" si="6">AVERAGE(D17:D21)</f>
        <v>0.83164310455322232</v>
      </c>
      <c r="E22" s="6">
        <f t="shared" si="6"/>
        <v>0.87000801563262908</v>
      </c>
      <c r="F22" s="6">
        <f t="shared" si="6"/>
        <v>0.59683033227920501</v>
      </c>
      <c r="G22" s="6">
        <f t="shared" si="6"/>
        <v>0.82263612747192361</v>
      </c>
      <c r="H22" s="5" t="s">
        <v>13</v>
      </c>
      <c r="I22" s="5">
        <f>AVERAGE(C17:G21)</f>
        <v>0.82873451471328674</v>
      </c>
      <c r="K22" s="7" t="s">
        <v>23</v>
      </c>
      <c r="L22" s="9" t="s">
        <v>337</v>
      </c>
      <c r="M22" s="9">
        <v>0.60728722810745195</v>
      </c>
      <c r="N22" s="9">
        <v>0.64362883567810003</v>
      </c>
      <c r="O22" s="9">
        <v>0.58230048418045</v>
      </c>
      <c r="P22" s="9">
        <v>0.61045354604721003</v>
      </c>
      <c r="Q22" s="9">
        <v>0.60220086574554399</v>
      </c>
      <c r="R22" s="8">
        <f t="shared" si="4"/>
        <v>0.60917419195175126</v>
      </c>
      <c r="S22" s="8">
        <f t="shared" si="5"/>
        <v>2.2153686496361954E-2</v>
      </c>
      <c r="T22" s="8"/>
      <c r="U22" s="8"/>
      <c r="W22" s="20">
        <v>0.3</v>
      </c>
      <c r="X22" s="20">
        <f>AVERAGE(R35:R37)</f>
        <v>2.1108186960220294</v>
      </c>
      <c r="Y22" s="20">
        <f>AVERAGE(S35:S37)</f>
        <v>0.31032597939950574</v>
      </c>
    </row>
    <row r="23" spans="2:25" x14ac:dyDescent="0.2">
      <c r="B23" s="5" t="s">
        <v>12</v>
      </c>
      <c r="C23" s="6">
        <f>STDEV(C17:C21)</f>
        <v>5.8852764048022171E-2</v>
      </c>
      <c r="D23" s="6">
        <f t="shared" ref="D23:G23" si="7">STDEV(D17:D21)</f>
        <v>2.561593733257626E-2</v>
      </c>
      <c r="E23" s="6">
        <f t="shared" si="7"/>
        <v>6.4297191801457765E-2</v>
      </c>
      <c r="F23" s="6">
        <f t="shared" si="7"/>
        <v>1.7592017100298993E-2</v>
      </c>
      <c r="G23" s="6">
        <f t="shared" si="7"/>
        <v>3.671970577430643E-2</v>
      </c>
      <c r="H23" s="5" t="s">
        <v>12</v>
      </c>
      <c r="I23" s="5">
        <f>STDEV(C17:G21)</f>
        <v>0.14507504884538677</v>
      </c>
      <c r="K23" s="7" t="s">
        <v>24</v>
      </c>
      <c r="L23" s="9" t="s">
        <v>338</v>
      </c>
      <c r="M23" s="9">
        <v>1.0498923063278101</v>
      </c>
      <c r="N23" s="9">
        <v>1.0091315507888701</v>
      </c>
      <c r="O23" s="9">
        <v>0.96649563312530495</v>
      </c>
      <c r="P23" s="9">
        <v>0.95915538072586004</v>
      </c>
      <c r="Q23" s="9">
        <v>0.89836931228637695</v>
      </c>
      <c r="R23" s="8">
        <f t="shared" si="4"/>
        <v>0.97660883665084453</v>
      </c>
      <c r="S23" s="8">
        <f t="shared" si="5"/>
        <v>5.6913348708477279E-2</v>
      </c>
      <c r="T23" s="8"/>
      <c r="U23" s="8"/>
      <c r="W23" s="20">
        <v>0.35</v>
      </c>
      <c r="X23" s="20">
        <f>AVERAGE(R38:R40)</f>
        <v>1.6094701131184845</v>
      </c>
      <c r="Y23" s="20">
        <f>AVERAGE(S38:S40)</f>
        <v>0.1521758914148775</v>
      </c>
    </row>
    <row r="24" spans="2:25" x14ac:dyDescent="0.2">
      <c r="B24" s="6"/>
      <c r="C24" s="6"/>
      <c r="D24" s="6"/>
      <c r="E24" s="6"/>
      <c r="F24" s="6"/>
      <c r="G24" s="6"/>
      <c r="H24" s="6"/>
      <c r="I24" s="6"/>
      <c r="K24" s="7" t="s">
        <v>25</v>
      </c>
      <c r="L24" s="9" t="s">
        <v>339</v>
      </c>
      <c r="M24" s="9">
        <v>0.86267578601837103</v>
      </c>
      <c r="N24" s="9">
        <v>0.957613945007324</v>
      </c>
      <c r="O24" s="9">
        <v>0.820345878601074</v>
      </c>
      <c r="P24" s="9">
        <v>0.87518727779388406</v>
      </c>
      <c r="Q24" s="9">
        <v>0.94907575845718295</v>
      </c>
      <c r="R24" s="8">
        <f t="shared" si="4"/>
        <v>0.89297972917556723</v>
      </c>
      <c r="S24" s="8">
        <f t="shared" si="5"/>
        <v>5.8810974536373642E-2</v>
      </c>
      <c r="T24" s="8"/>
      <c r="U24" s="8"/>
      <c r="W24" s="20">
        <v>0.4</v>
      </c>
      <c r="X24" s="20">
        <f>AVERAGE(R42:R43)</f>
        <v>2.0882306218147217</v>
      </c>
      <c r="Y24" s="20">
        <f>AVERAGE(S42:S43)</f>
        <v>0.20814387267259093</v>
      </c>
    </row>
    <row r="25" spans="2:25" x14ac:dyDescent="0.2">
      <c r="B25" s="14"/>
      <c r="K25" s="7" t="s">
        <v>26</v>
      </c>
      <c r="L25" s="9" t="s">
        <v>340</v>
      </c>
      <c r="M25" s="9">
        <v>1.0549058914184499</v>
      </c>
      <c r="N25" s="9">
        <v>0.977630615234375</v>
      </c>
      <c r="O25" s="9">
        <v>0.872822165489196</v>
      </c>
      <c r="P25" s="9">
        <v>0.88791853189468295</v>
      </c>
      <c r="Q25" s="9">
        <v>0.98414397239685003</v>
      </c>
      <c r="R25" s="8">
        <f t="shared" si="4"/>
        <v>0.95548423528671067</v>
      </c>
      <c r="S25" s="8">
        <f t="shared" si="5"/>
        <v>7.5157585182826142E-2</v>
      </c>
      <c r="T25" s="8"/>
      <c r="U25" s="8"/>
      <c r="W25" s="20">
        <v>0.45</v>
      </c>
      <c r="X25" s="20">
        <f>AVERAGE(R44:R46)</f>
        <v>1.7772112925847328</v>
      </c>
      <c r="Y25" s="20">
        <f>AVERAGE(S44:S46)</f>
        <v>4.2414171077713191E-2</v>
      </c>
    </row>
    <row r="26" spans="2:25" x14ac:dyDescent="0.2">
      <c r="B26" s="14"/>
      <c r="C26" s="14"/>
      <c r="D26" s="14"/>
      <c r="E26" s="14"/>
      <c r="F26" s="14"/>
      <c r="G26" s="14"/>
      <c r="K26" s="7" t="s">
        <v>27</v>
      </c>
      <c r="L26" s="9" t="s">
        <v>341</v>
      </c>
      <c r="M26" s="9">
        <v>1.41511726379394</v>
      </c>
      <c r="N26" s="9">
        <v>1.10075294971466</v>
      </c>
      <c r="O26" s="9">
        <v>1.1833026409149101</v>
      </c>
      <c r="P26" s="9">
        <v>1.1426905393600399</v>
      </c>
      <c r="Q26" s="9">
        <v>1.2183812856674101</v>
      </c>
      <c r="R26" s="8">
        <f t="shared" si="4"/>
        <v>1.212048935890192</v>
      </c>
      <c r="S26" s="8">
        <f t="shared" si="5"/>
        <v>0.12175854963220149</v>
      </c>
      <c r="T26" s="8"/>
      <c r="U26" s="8"/>
      <c r="W26" s="20">
        <v>0.5</v>
      </c>
      <c r="X26" s="20">
        <f>AVERAGE(R47:R49)</f>
        <v>2.0234713395436561</v>
      </c>
      <c r="Y26" s="20">
        <f>AVERAGE(S47:S49)</f>
        <v>0.13355930471589425</v>
      </c>
    </row>
    <row r="27" spans="2:25" x14ac:dyDescent="0.2">
      <c r="B27" s="14"/>
      <c r="K27" s="7" t="s">
        <v>28</v>
      </c>
      <c r="L27" s="9" t="s">
        <v>342</v>
      </c>
      <c r="M27" s="9">
        <v>1.3918883800506501</v>
      </c>
      <c r="N27" s="9">
        <v>0.95263063907623202</v>
      </c>
      <c r="O27" s="9">
        <v>1.28431391716003</v>
      </c>
      <c r="P27" s="9">
        <v>1.2163110971450799</v>
      </c>
      <c r="Q27" s="9">
        <v>0.86856782436370805</v>
      </c>
      <c r="R27" s="8">
        <f t="shared" si="4"/>
        <v>1.1427423715591398</v>
      </c>
      <c r="S27" s="8">
        <f t="shared" si="5"/>
        <v>0.22295893490331897</v>
      </c>
      <c r="T27" s="8"/>
      <c r="U27" s="8"/>
      <c r="W27" s="20">
        <v>0.55000000000000004</v>
      </c>
      <c r="X27" s="20">
        <f>AVERAGE(R50:R52)</f>
        <v>1.7939408699671369</v>
      </c>
      <c r="Y27" s="20">
        <f>AVERAGE(S50:S52)</f>
        <v>0.17167762038199577</v>
      </c>
    </row>
    <row r="28" spans="2:25" x14ac:dyDescent="0.2">
      <c r="B28" s="14"/>
      <c r="K28" s="7" t="s">
        <v>29</v>
      </c>
      <c r="L28" s="9" t="s">
        <v>343</v>
      </c>
      <c r="M28" s="9">
        <v>2.3152270317077601</v>
      </c>
      <c r="N28" s="9">
        <v>1.24983274936676</v>
      </c>
      <c r="O28" s="9">
        <v>2.22787141799926</v>
      </c>
      <c r="P28" s="9">
        <v>2.15714335441589</v>
      </c>
      <c r="Q28" s="9">
        <v>1.27102482318878</v>
      </c>
      <c r="R28" s="8">
        <f t="shared" si="4"/>
        <v>1.8442198753356902</v>
      </c>
      <c r="S28" s="8">
        <f t="shared" si="5"/>
        <v>0.53591183384601604</v>
      </c>
      <c r="T28" s="8"/>
      <c r="U28" s="8"/>
      <c r="W28" s="20">
        <v>0.6</v>
      </c>
      <c r="X28" s="20" t="e">
        <f>AVERAGE(R53:R55)</f>
        <v>#DIV/0!</v>
      </c>
      <c r="Y28" s="20" t="e">
        <f>AVERAGE(S53:S55)</f>
        <v>#DIV/0!</v>
      </c>
    </row>
    <row r="29" spans="2:25" x14ac:dyDescent="0.2">
      <c r="B29" s="14"/>
      <c r="K29" s="7" t="s">
        <v>30</v>
      </c>
      <c r="L29" s="9" t="s">
        <v>344</v>
      </c>
      <c r="M29" s="9">
        <v>1.5124711990356401</v>
      </c>
      <c r="N29" s="9">
        <v>1.3673906326293901</v>
      </c>
      <c r="O29" s="9">
        <v>1.33053791522979</v>
      </c>
      <c r="P29" s="9">
        <v>1.34767210483551</v>
      </c>
      <c r="Q29" s="9">
        <v>1.3723989725112899</v>
      </c>
      <c r="R29" s="8">
        <f t="shared" si="4"/>
        <v>1.386094164848324</v>
      </c>
      <c r="S29" s="8">
        <f t="shared" si="5"/>
        <v>7.2579760863308598E-2</v>
      </c>
      <c r="T29" s="8"/>
      <c r="U29" s="8"/>
      <c r="W29" s="20">
        <v>0.65</v>
      </c>
      <c r="X29" s="20" t="e">
        <f>AVERAGE(R56:R58)</f>
        <v>#DIV/0!</v>
      </c>
      <c r="Y29" s="20" t="e">
        <f>AVERAGE(S56:S58)</f>
        <v>#DIV/0!</v>
      </c>
    </row>
    <row r="30" spans="2:25" x14ac:dyDescent="0.2">
      <c r="B30" s="14"/>
      <c r="K30" s="7" t="s">
        <v>31</v>
      </c>
      <c r="L30" s="9" t="s">
        <v>345</v>
      </c>
      <c r="M30" s="9">
        <v>0.99592095613479603</v>
      </c>
      <c r="N30" s="9">
        <v>1.01532614231109</v>
      </c>
      <c r="O30" s="9">
        <v>1.1143664121627801</v>
      </c>
      <c r="P30" s="9">
        <v>1.0069055557250901</v>
      </c>
      <c r="Q30" s="9">
        <v>0.94691175222396795</v>
      </c>
      <c r="R30" s="8">
        <f t="shared" si="4"/>
        <v>1.0158861637115448</v>
      </c>
      <c r="S30" s="8">
        <f t="shared" si="5"/>
        <v>6.1105243703860258E-2</v>
      </c>
      <c r="T30" s="8"/>
      <c r="U30" s="8"/>
      <c r="W30" s="20">
        <v>0.7</v>
      </c>
      <c r="X30" s="20" t="e">
        <f>AVERAGE(R59:R61)</f>
        <v>#DIV/0!</v>
      </c>
      <c r="Y30" s="20" t="e">
        <f>AVERAGE(S59:S61)</f>
        <v>#DIV/0!</v>
      </c>
    </row>
    <row r="31" spans="2:25" x14ac:dyDescent="0.2">
      <c r="B31" s="14"/>
      <c r="K31" s="7" t="s">
        <v>32</v>
      </c>
      <c r="L31" s="9" t="s">
        <v>346</v>
      </c>
      <c r="M31" s="9">
        <v>1.44240462779998</v>
      </c>
      <c r="N31" s="9">
        <v>1.3794295787811199</v>
      </c>
      <c r="O31" s="9">
        <v>1.4301350116729701</v>
      </c>
      <c r="P31" s="9">
        <v>1.0560339689254701</v>
      </c>
      <c r="Q31" s="9">
        <v>1.02405321598052</v>
      </c>
      <c r="R31" s="8">
        <f t="shared" si="4"/>
        <v>1.266411280632012</v>
      </c>
      <c r="S31" s="8">
        <f t="shared" si="5"/>
        <v>0.20829564256866195</v>
      </c>
      <c r="T31" s="8"/>
      <c r="U31" s="8"/>
      <c r="W31" s="20">
        <v>0.75</v>
      </c>
      <c r="X31" s="20" t="e">
        <f>AVERAGE(R62:R64)</f>
        <v>#DIV/0!</v>
      </c>
      <c r="Y31" s="20" t="e">
        <f>AVERAGE(S62:S64)</f>
        <v>#DIV/0!</v>
      </c>
    </row>
    <row r="32" spans="2:25" x14ac:dyDescent="0.2">
      <c r="K32" s="7" t="s">
        <v>33</v>
      </c>
      <c r="L32" s="9" t="s">
        <v>347</v>
      </c>
      <c r="M32" s="9">
        <v>2.1101889610290501</v>
      </c>
      <c r="N32" s="9">
        <v>1.4631922245025599</v>
      </c>
      <c r="O32" s="9">
        <v>1.7799836397171001</v>
      </c>
      <c r="P32" s="9">
        <v>2.0674469470977699</v>
      </c>
      <c r="Q32" s="9">
        <v>2.0624260902404701</v>
      </c>
      <c r="R32" s="8">
        <f t="shared" si="4"/>
        <v>1.8966475725173901</v>
      </c>
      <c r="S32" s="8">
        <f t="shared" si="5"/>
        <v>0.27556708794868917</v>
      </c>
      <c r="T32" s="8"/>
      <c r="U32" s="10"/>
      <c r="W32" s="20">
        <v>0.8</v>
      </c>
      <c r="X32" s="20" t="e">
        <f>AVERAGE(R65:R67)</f>
        <v>#DIV/0!</v>
      </c>
      <c r="Y32" s="20" t="e">
        <f>AVERAGE(S65:S67)</f>
        <v>#DIV/0!</v>
      </c>
    </row>
    <row r="33" spans="11:25" x14ac:dyDescent="0.2">
      <c r="K33" s="7" t="s">
        <v>34</v>
      </c>
      <c r="L33" s="9" t="s">
        <v>175</v>
      </c>
      <c r="M33" s="9">
        <v>1.2955470085144001</v>
      </c>
      <c r="N33" s="9">
        <v>2.2895309925079301</v>
      </c>
      <c r="O33" s="9">
        <v>1.2346937656402499</v>
      </c>
      <c r="P33" s="9">
        <v>1.1620802879333401</v>
      </c>
      <c r="Q33" s="9">
        <v>1.2025719881057699</v>
      </c>
      <c r="R33" s="8">
        <f t="shared" si="4"/>
        <v>1.4368848085403378</v>
      </c>
      <c r="S33" s="8">
        <f t="shared" si="5"/>
        <v>0.47913545291121579</v>
      </c>
      <c r="T33" s="8"/>
      <c r="U33" s="10"/>
      <c r="W33" s="20">
        <v>0.85</v>
      </c>
      <c r="X33" s="20" t="e">
        <f>AVERAGE(R68:R70)</f>
        <v>#DIV/0!</v>
      </c>
      <c r="Y33" s="20" t="e">
        <f>AVERAGE(S68:S70)</f>
        <v>#DIV/0!</v>
      </c>
    </row>
    <row r="34" spans="11:25" x14ac:dyDescent="0.2">
      <c r="K34" s="7" t="s">
        <v>35</v>
      </c>
      <c r="L34" s="9" t="s">
        <v>348</v>
      </c>
      <c r="M34" s="9">
        <v>1.52472412586212</v>
      </c>
      <c r="N34" s="9">
        <v>1.50048911571502</v>
      </c>
      <c r="O34" s="9">
        <v>1.4853322505950901</v>
      </c>
      <c r="P34" s="9">
        <v>1.39988529682159</v>
      </c>
      <c r="Q34" s="9">
        <v>1.3653824329376201</v>
      </c>
      <c r="R34" s="8">
        <f t="shared" si="4"/>
        <v>1.4551626443862882</v>
      </c>
      <c r="S34" s="8">
        <f t="shared" si="5"/>
        <v>6.8774205499912935E-2</v>
      </c>
      <c r="T34" s="8"/>
      <c r="U34" s="8"/>
      <c r="W34" s="20">
        <v>0.9</v>
      </c>
      <c r="X34" s="20" t="e">
        <f>AVERAGE(R71:R73)</f>
        <v>#DIV/0!</v>
      </c>
      <c r="Y34" s="20" t="e">
        <f>AVERAGE(S71:S73)</f>
        <v>#DIV/0!</v>
      </c>
    </row>
    <row r="35" spans="11:25" x14ac:dyDescent="0.2">
      <c r="K35" s="7" t="s">
        <v>36</v>
      </c>
      <c r="L35" s="9" t="s">
        <v>109</v>
      </c>
      <c r="M35" s="9">
        <v>2.0277178287506099</v>
      </c>
      <c r="N35" s="9">
        <v>1.6364916563034</v>
      </c>
      <c r="O35" s="9">
        <v>1.6814339160919101</v>
      </c>
      <c r="P35" s="9">
        <v>1.85128057003021</v>
      </c>
      <c r="Q35" s="9">
        <v>1.84778428077697</v>
      </c>
      <c r="R35" s="8">
        <f t="shared" si="4"/>
        <v>1.8089416503906199</v>
      </c>
      <c r="S35" s="8">
        <f t="shared" si="5"/>
        <v>0.1558537559990559</v>
      </c>
      <c r="T35" s="8"/>
      <c r="U35" s="8"/>
      <c r="W35" s="20">
        <v>0.95</v>
      </c>
      <c r="X35" s="20" t="e">
        <f>AVERAGE(R74:R76)</f>
        <v>#DIV/0!</v>
      </c>
      <c r="Y35" s="20" t="e">
        <f>AVERAGE(S74:S76)</f>
        <v>#DIV/0!</v>
      </c>
    </row>
    <row r="36" spans="11:25" x14ac:dyDescent="0.2">
      <c r="K36" s="7" t="s">
        <v>37</v>
      </c>
      <c r="L36" s="9" t="s">
        <v>349</v>
      </c>
      <c r="M36" s="9">
        <v>1.2573375701904199</v>
      </c>
      <c r="N36" s="9">
        <v>1.7414642572402901</v>
      </c>
      <c r="O36" s="9">
        <v>1.17197513580322</v>
      </c>
      <c r="P36" s="9">
        <v>2.74614262580871</v>
      </c>
      <c r="Q36" s="9">
        <v>2.6233038902282702</v>
      </c>
      <c r="R36" s="8">
        <f t="shared" si="4"/>
        <v>1.9080446958541821</v>
      </c>
      <c r="S36" s="8">
        <f t="shared" si="5"/>
        <v>0.74279389107657912</v>
      </c>
      <c r="T36" s="8"/>
      <c r="U36" s="8"/>
      <c r="W36" s="20">
        <v>1</v>
      </c>
      <c r="X36" s="20" t="e">
        <f>AVERAGE(R77:R79)</f>
        <v>#DIV/0!</v>
      </c>
      <c r="Y36" s="20" t="e">
        <f>AVERAGE(S77:S79)</f>
        <v>#DIV/0!</v>
      </c>
    </row>
    <row r="37" spans="11:25" x14ac:dyDescent="0.2">
      <c r="K37" s="7" t="s">
        <v>38</v>
      </c>
      <c r="L37" s="9" t="s">
        <v>350</v>
      </c>
      <c r="M37" s="9">
        <v>2.6214857101440399</v>
      </c>
      <c r="N37" s="9">
        <v>2.66958379745483</v>
      </c>
      <c r="O37" s="9">
        <v>2.59554100036621</v>
      </c>
      <c r="P37" s="9">
        <v>2.5929982662200901</v>
      </c>
      <c r="Q37" s="9">
        <v>2.5977399349212602</v>
      </c>
      <c r="R37" s="8">
        <f t="shared" si="4"/>
        <v>2.6154697418212862</v>
      </c>
      <c r="S37" s="8">
        <f t="shared" si="5"/>
        <v>3.2330291122882264E-2</v>
      </c>
      <c r="T37" s="8"/>
      <c r="U37" s="8"/>
    </row>
    <row r="38" spans="11:25" x14ac:dyDescent="0.2">
      <c r="K38" s="7" t="s">
        <v>39</v>
      </c>
      <c r="L38" s="9" t="s">
        <v>351</v>
      </c>
      <c r="M38" s="9">
        <v>1.3044444322586</v>
      </c>
      <c r="N38" s="9">
        <v>1.40146231651306</v>
      </c>
      <c r="O38" s="9">
        <v>1.45440208911895</v>
      </c>
      <c r="P38" s="9">
        <v>1.5391888618469201</v>
      </c>
      <c r="Q38" s="9">
        <v>1.59406077861785</v>
      </c>
      <c r="R38" s="8">
        <f t="shared" si="4"/>
        <v>1.4587116956710759</v>
      </c>
      <c r="S38" s="8">
        <f t="shared" si="5"/>
        <v>0.11389732351290549</v>
      </c>
      <c r="T38" s="8"/>
      <c r="U38" s="8"/>
      <c r="V38" s="9"/>
    </row>
    <row r="39" spans="11:25" x14ac:dyDescent="0.2">
      <c r="K39" s="7" t="s">
        <v>40</v>
      </c>
      <c r="L39" s="9" t="s">
        <v>146</v>
      </c>
      <c r="M39" s="9">
        <v>2.1076676845550502</v>
      </c>
      <c r="N39" s="9">
        <v>1.6594762802123999</v>
      </c>
      <c r="O39" s="9">
        <v>2.11339831352233</v>
      </c>
      <c r="P39" s="9">
        <v>1.5322957038879299</v>
      </c>
      <c r="Q39" s="9">
        <v>2.0617458820343</v>
      </c>
      <c r="R39" s="8">
        <f t="shared" si="4"/>
        <v>1.8949167728424019</v>
      </c>
      <c r="S39" s="8">
        <f t="shared" si="5"/>
        <v>0.27737850986772</v>
      </c>
      <c r="T39" s="8"/>
      <c r="U39" s="8"/>
    </row>
    <row r="40" spans="11:25" x14ac:dyDescent="0.2">
      <c r="K40" s="7" t="s">
        <v>41</v>
      </c>
      <c r="L40" s="9" t="s">
        <v>352</v>
      </c>
      <c r="M40" s="9">
        <v>1.5223248004913299</v>
      </c>
      <c r="N40" s="9">
        <v>1.38954782485961</v>
      </c>
      <c r="O40" s="9">
        <v>1.4887946844100901</v>
      </c>
      <c r="P40" s="9">
        <v>1.4273363351821899</v>
      </c>
      <c r="Q40" s="9">
        <v>1.5459057092666599</v>
      </c>
      <c r="R40" s="8">
        <f t="shared" si="4"/>
        <v>1.474781870841976</v>
      </c>
      <c r="S40" s="8">
        <f t="shared" si="5"/>
        <v>6.5251840864007024E-2</v>
      </c>
      <c r="T40" s="8"/>
      <c r="U40" s="8"/>
    </row>
    <row r="41" spans="11:25" x14ac:dyDescent="0.2">
      <c r="K41" s="7" t="s">
        <v>42</v>
      </c>
      <c r="L41" s="9" t="s">
        <v>121</v>
      </c>
      <c r="M41" s="9">
        <v>1.9022508859634399</v>
      </c>
      <c r="N41" s="9">
        <v>2.0495944023132302</v>
      </c>
      <c r="O41" s="9">
        <v>2.0732951164245601</v>
      </c>
      <c r="P41" s="9">
        <v>1.67729711532592</v>
      </c>
      <c r="Q41" s="9">
        <v>1.6603049039840601</v>
      </c>
      <c r="R41" s="8">
        <f t="shared" si="4"/>
        <v>1.8725484848022418</v>
      </c>
      <c r="S41" s="8">
        <f t="shared" si="5"/>
        <v>0.19729238108113706</v>
      </c>
      <c r="T41" s="8"/>
      <c r="U41" s="10"/>
    </row>
    <row r="42" spans="11:25" x14ac:dyDescent="0.2">
      <c r="K42" s="7" t="s">
        <v>43</v>
      </c>
      <c r="L42" s="9" t="s">
        <v>329</v>
      </c>
      <c r="M42" s="9">
        <v>1.0983570814132599</v>
      </c>
      <c r="N42" s="9">
        <v>1.2478154897689799</v>
      </c>
      <c r="O42" s="9">
        <v>1.0748594999313299</v>
      </c>
      <c r="P42" s="9">
        <v>1.3374820947646999</v>
      </c>
      <c r="Q42" s="9">
        <v>1.25311410427093</v>
      </c>
      <c r="R42" s="8">
        <f t="shared" si="4"/>
        <v>1.2023256540298397</v>
      </c>
      <c r="S42" s="8">
        <f t="shared" si="5"/>
        <v>0.11177336426691234</v>
      </c>
      <c r="T42" s="9" t="s">
        <v>334</v>
      </c>
      <c r="U42" s="10"/>
    </row>
    <row r="43" spans="11:25" x14ac:dyDescent="0.2">
      <c r="K43" s="7" t="s">
        <v>44</v>
      </c>
      <c r="L43" s="9" t="s">
        <v>353</v>
      </c>
      <c r="M43" s="9">
        <v>3.2148578166961599</v>
      </c>
      <c r="N43" s="9">
        <v>3.3137562274932799</v>
      </c>
      <c r="O43" s="9">
        <v>2.6474030017852699</v>
      </c>
      <c r="P43" s="9">
        <v>3.0186684131622301</v>
      </c>
      <c r="Q43" s="9">
        <v>2.67599248886108</v>
      </c>
      <c r="R43" s="8">
        <f t="shared" si="4"/>
        <v>2.9741355895996042</v>
      </c>
      <c r="S43" s="8">
        <f t="shared" si="5"/>
        <v>0.30451438107826956</v>
      </c>
      <c r="T43" s="8"/>
      <c r="U43" s="10"/>
    </row>
    <row r="44" spans="11:25" x14ac:dyDescent="0.2">
      <c r="K44" s="7" t="s">
        <v>45</v>
      </c>
      <c r="L44" s="9" t="s">
        <v>354</v>
      </c>
      <c r="M44" s="9">
        <v>1.86429727077484</v>
      </c>
      <c r="N44" s="9">
        <v>1.8214985132217401</v>
      </c>
      <c r="O44" s="9">
        <v>1.7697741985321001</v>
      </c>
      <c r="P44" s="9">
        <v>1.8686823844909599</v>
      </c>
      <c r="Q44" s="9">
        <v>1.8454012870788501</v>
      </c>
      <c r="R44" s="8">
        <f t="shared" si="4"/>
        <v>1.8339307308196979</v>
      </c>
      <c r="S44" s="8">
        <f t="shared" si="5"/>
        <v>4.0410390100200443E-2</v>
      </c>
      <c r="T44" s="8"/>
      <c r="U44" s="8"/>
    </row>
    <row r="45" spans="11:25" x14ac:dyDescent="0.2">
      <c r="K45" s="7" t="s">
        <v>46</v>
      </c>
      <c r="L45" s="9" t="s">
        <v>190</v>
      </c>
      <c r="M45" s="9">
        <v>1.92997169494628</v>
      </c>
      <c r="N45" s="9">
        <v>1.89844381809234</v>
      </c>
      <c r="O45" s="9">
        <v>1.97178530693054</v>
      </c>
      <c r="P45" s="9">
        <v>1.9953204393386801</v>
      </c>
      <c r="Q45" s="9">
        <v>1.8716790676116899</v>
      </c>
      <c r="R45" s="8">
        <f t="shared" si="4"/>
        <v>1.9334400653839061</v>
      </c>
      <c r="S45" s="8">
        <f t="shared" si="5"/>
        <v>5.086925887472981E-2</v>
      </c>
      <c r="T45" s="8"/>
      <c r="U45" s="8"/>
    </row>
    <row r="46" spans="11:25" x14ac:dyDescent="0.2">
      <c r="K46" s="7" t="s">
        <v>47</v>
      </c>
      <c r="L46" s="9" t="s">
        <v>195</v>
      </c>
      <c r="M46" s="9">
        <v>1.5753593444824201</v>
      </c>
      <c r="N46" s="9">
        <v>1.5499907732009801</v>
      </c>
      <c r="O46" s="9">
        <v>1.6214246749877901</v>
      </c>
      <c r="P46" s="9">
        <v>1.5450747013092001</v>
      </c>
      <c r="Q46" s="9">
        <v>1.5294659137725799</v>
      </c>
      <c r="R46" s="8">
        <f t="shared" si="4"/>
        <v>1.5642630815505938</v>
      </c>
      <c r="S46" s="8">
        <f t="shared" si="5"/>
        <v>3.5962864258209305E-2</v>
      </c>
      <c r="T46" s="8"/>
      <c r="U46" s="8"/>
    </row>
    <row r="47" spans="11:25" x14ac:dyDescent="0.2">
      <c r="K47" s="7" t="s">
        <v>48</v>
      </c>
      <c r="L47" s="9" t="s">
        <v>195</v>
      </c>
      <c r="M47" s="9">
        <v>1.7765688896179199</v>
      </c>
      <c r="N47" s="9">
        <v>1.88377916812896</v>
      </c>
      <c r="O47" s="9">
        <v>1.7100971937179501</v>
      </c>
      <c r="P47" s="9">
        <v>1.84716784954071</v>
      </c>
      <c r="Q47" s="9">
        <v>1.72383141517639</v>
      </c>
      <c r="R47" s="8">
        <f t="shared" si="4"/>
        <v>1.788288903236386</v>
      </c>
      <c r="S47" s="8">
        <f t="shared" si="5"/>
        <v>7.5814231729271028E-2</v>
      </c>
      <c r="T47" s="8"/>
      <c r="U47" s="8"/>
    </row>
    <row r="48" spans="11:25" x14ac:dyDescent="0.2">
      <c r="K48" s="7" t="s">
        <v>49</v>
      </c>
      <c r="L48" s="9" t="s">
        <v>355</v>
      </c>
      <c r="M48" s="9">
        <v>1.4403493404388401</v>
      </c>
      <c r="N48" s="9">
        <v>1.4441435337066599</v>
      </c>
      <c r="O48" s="9">
        <v>1.5065122842788601</v>
      </c>
      <c r="P48" s="9">
        <v>1.4601473808288501</v>
      </c>
      <c r="Q48" s="9">
        <v>1.49584436416625</v>
      </c>
      <c r="R48" s="8">
        <f t="shared" si="4"/>
        <v>1.4693993806838921</v>
      </c>
      <c r="S48" s="8">
        <f t="shared" si="5"/>
        <v>3.0183053650706775E-2</v>
      </c>
      <c r="T48" s="8"/>
      <c r="U48" s="8"/>
    </row>
    <row r="49" spans="11:21" x14ac:dyDescent="0.2">
      <c r="K49" s="7" t="s">
        <v>50</v>
      </c>
      <c r="L49" s="9" t="s">
        <v>195</v>
      </c>
      <c r="M49" s="9">
        <v>2.9400050640106201</v>
      </c>
      <c r="N49" s="9">
        <v>3.0651898384094198</v>
      </c>
      <c r="O49" s="9">
        <v>3.05432033538818</v>
      </c>
      <c r="P49" s="9">
        <v>2.41258573532104</v>
      </c>
      <c r="Q49" s="9">
        <v>2.5915277004241899</v>
      </c>
      <c r="R49" s="8">
        <f t="shared" si="4"/>
        <v>2.81272573471069</v>
      </c>
      <c r="S49" s="8">
        <f t="shared" si="5"/>
        <v>0.2946806287677049</v>
      </c>
      <c r="T49" s="8"/>
      <c r="U49" s="8"/>
    </row>
    <row r="50" spans="11:21" x14ac:dyDescent="0.2">
      <c r="K50" s="7" t="s">
        <v>51</v>
      </c>
      <c r="L50" s="9" t="s">
        <v>138</v>
      </c>
      <c r="M50" s="9">
        <v>1.5771777629852199</v>
      </c>
      <c r="N50" s="9">
        <v>1.61959016323089</v>
      </c>
      <c r="O50" s="9">
        <v>1.2758941650390601</v>
      </c>
      <c r="P50" s="9">
        <v>1.5801863670349099</v>
      </c>
      <c r="Q50" s="9">
        <v>1.6047610044479299</v>
      </c>
      <c r="R50" s="8">
        <f t="shared" si="4"/>
        <v>1.5315218925476022</v>
      </c>
      <c r="S50" s="8">
        <f t="shared" si="5"/>
        <v>0.14397761324839481</v>
      </c>
      <c r="T50" s="8"/>
      <c r="U50" s="8"/>
    </row>
    <row r="51" spans="11:21" x14ac:dyDescent="0.2">
      <c r="K51" s="7" t="s">
        <v>52</v>
      </c>
      <c r="L51" s="9" t="s">
        <v>138</v>
      </c>
      <c r="M51" s="9">
        <v>1.6498124599456701</v>
      </c>
      <c r="N51" s="9">
        <v>1.6966634988784699</v>
      </c>
      <c r="O51" s="9">
        <v>1.5927922725677399</v>
      </c>
      <c r="P51" s="9">
        <v>1.52793252468109</v>
      </c>
      <c r="Q51" s="9">
        <v>1.6288046836853001</v>
      </c>
      <c r="R51" s="8">
        <f t="shared" si="4"/>
        <v>1.6192010879516539</v>
      </c>
      <c r="S51" s="8">
        <f t="shared" si="5"/>
        <v>6.3358279696541689E-2</v>
      </c>
      <c r="T51" s="8"/>
      <c r="U51" s="8"/>
    </row>
    <row r="52" spans="11:21" x14ac:dyDescent="0.2">
      <c r="K52" s="7" t="s">
        <v>53</v>
      </c>
      <c r="L52" s="9" t="s">
        <v>356</v>
      </c>
      <c r="M52" s="9">
        <v>1.69354140758514</v>
      </c>
      <c r="N52" s="9">
        <v>2.30815076828002</v>
      </c>
      <c r="O52" s="9">
        <v>2.29176449775695</v>
      </c>
      <c r="P52" s="9">
        <v>2.4213550090789702</v>
      </c>
      <c r="Q52" s="9">
        <v>2.4406864643096902</v>
      </c>
      <c r="R52" s="8">
        <f t="shared" si="4"/>
        <v>2.2310996294021543</v>
      </c>
      <c r="S52" s="8">
        <f t="shared" si="5"/>
        <v>0.30769696820105086</v>
      </c>
      <c r="T52" s="8" t="s">
        <v>200</v>
      </c>
      <c r="U52" s="8"/>
    </row>
    <row r="53" spans="11:21" x14ac:dyDescent="0.2">
      <c r="K53" s="7" t="s">
        <v>54</v>
      </c>
      <c r="L53" s="9" t="s">
        <v>246</v>
      </c>
      <c r="M53" s="10"/>
      <c r="N53" s="10"/>
      <c r="O53" s="10"/>
      <c r="P53" s="10"/>
      <c r="Q53" s="10"/>
      <c r="R53" s="8" t="e">
        <f t="shared" si="4"/>
        <v>#DIV/0!</v>
      </c>
      <c r="S53" s="8" t="e">
        <f t="shared" si="5"/>
        <v>#DIV/0!</v>
      </c>
      <c r="T53" s="10" t="s">
        <v>202</v>
      </c>
      <c r="U53" s="8"/>
    </row>
    <row r="54" spans="11:21" x14ac:dyDescent="0.2">
      <c r="K54" s="7" t="s">
        <v>55</v>
      </c>
      <c r="L54" s="9" t="s">
        <v>137</v>
      </c>
      <c r="M54" s="9">
        <v>1.5024125576019201</v>
      </c>
      <c r="N54" s="9">
        <v>1.5187747478485101</v>
      </c>
      <c r="O54" s="9">
        <v>1.50337827205657</v>
      </c>
      <c r="P54" s="9">
        <v>1.60723841190338</v>
      </c>
      <c r="Q54" s="9">
        <v>1.56393659114837</v>
      </c>
      <c r="R54" s="8">
        <f t="shared" si="4"/>
        <v>1.5391481161117502</v>
      </c>
      <c r="S54" s="8">
        <f t="shared" si="5"/>
        <v>4.5537934770868302E-2</v>
      </c>
      <c r="T54" s="8"/>
      <c r="U54" s="8"/>
    </row>
    <row r="55" spans="11:21" x14ac:dyDescent="0.2">
      <c r="K55" s="7" t="s">
        <v>56</v>
      </c>
      <c r="L55" s="9" t="s">
        <v>137</v>
      </c>
      <c r="M55" s="9">
        <v>1.31012606620788</v>
      </c>
      <c r="N55" s="9">
        <v>1.2560224533080999</v>
      </c>
      <c r="O55" s="9">
        <v>1.3888076543807899</v>
      </c>
      <c r="P55" s="9">
        <v>1.4153698682785001</v>
      </c>
      <c r="Q55" s="9">
        <v>1.4049606323242101</v>
      </c>
      <c r="R55" s="8">
        <f t="shared" si="4"/>
        <v>1.355057334899896</v>
      </c>
      <c r="S55" s="8">
        <f t="shared" si="5"/>
        <v>6.9090070776491472E-2</v>
      </c>
      <c r="T55" s="8"/>
      <c r="U55" s="8"/>
    </row>
    <row r="56" spans="11:21" x14ac:dyDescent="0.2">
      <c r="K56" s="7" t="s">
        <v>57</v>
      </c>
      <c r="L56" s="9" t="s">
        <v>204</v>
      </c>
      <c r="M56" s="10"/>
      <c r="N56" s="10"/>
      <c r="O56" s="10"/>
      <c r="P56" s="10"/>
      <c r="Q56" s="10"/>
      <c r="R56" s="8" t="e">
        <f t="shared" si="4"/>
        <v>#DIV/0!</v>
      </c>
      <c r="S56" s="8" t="e">
        <f t="shared" si="5"/>
        <v>#DIV/0!</v>
      </c>
      <c r="T56" s="8"/>
      <c r="U56" s="8"/>
    </row>
    <row r="57" spans="11:21" x14ac:dyDescent="0.2">
      <c r="K57" s="7" t="s">
        <v>58</v>
      </c>
      <c r="L57" s="9" t="s">
        <v>201</v>
      </c>
      <c r="M57" s="10"/>
      <c r="N57" s="10"/>
      <c r="O57" s="10"/>
      <c r="P57" s="10"/>
      <c r="Q57" s="10"/>
      <c r="R57" s="8" t="e">
        <f t="shared" si="4"/>
        <v>#DIV/0!</v>
      </c>
      <c r="S57" s="8" t="e">
        <f t="shared" si="5"/>
        <v>#DIV/0!</v>
      </c>
      <c r="T57" s="8"/>
      <c r="U57" s="8"/>
    </row>
    <row r="58" spans="11:21" x14ac:dyDescent="0.2">
      <c r="K58" s="7" t="s">
        <v>59</v>
      </c>
      <c r="L58" s="10"/>
      <c r="M58" s="10"/>
      <c r="N58" s="10"/>
      <c r="O58" s="10"/>
      <c r="P58" s="10"/>
      <c r="Q58" s="10"/>
      <c r="R58" s="8" t="e">
        <f t="shared" si="4"/>
        <v>#DIV/0!</v>
      </c>
      <c r="S58" s="8" t="e">
        <f t="shared" si="5"/>
        <v>#DIV/0!</v>
      </c>
      <c r="T58" s="8"/>
      <c r="U58" s="8"/>
    </row>
    <row r="59" spans="11:21" x14ac:dyDescent="0.2">
      <c r="K59" s="7" t="s">
        <v>60</v>
      </c>
      <c r="L59" s="10"/>
      <c r="M59" s="10"/>
      <c r="N59" s="10"/>
      <c r="O59" s="10"/>
      <c r="P59" s="10"/>
      <c r="Q59" s="10"/>
      <c r="R59" s="8" t="e">
        <f t="shared" si="4"/>
        <v>#DIV/0!</v>
      </c>
      <c r="S59" s="8" t="e">
        <f t="shared" si="5"/>
        <v>#DIV/0!</v>
      </c>
      <c r="T59" s="10"/>
      <c r="U59" s="8"/>
    </row>
    <row r="60" spans="11:21" x14ac:dyDescent="0.2">
      <c r="K60" s="7" t="s">
        <v>61</v>
      </c>
      <c r="L60" s="10"/>
      <c r="M60" s="10"/>
      <c r="N60" s="10"/>
      <c r="O60" s="10"/>
      <c r="P60" s="10"/>
      <c r="Q60" s="10"/>
      <c r="R60" s="8" t="e">
        <f t="shared" si="4"/>
        <v>#DIV/0!</v>
      </c>
      <c r="S60" s="8" t="e">
        <f t="shared" si="5"/>
        <v>#DIV/0!</v>
      </c>
      <c r="T60" s="9" t="s">
        <v>334</v>
      </c>
      <c r="U60" s="8"/>
    </row>
    <row r="61" spans="11:21" x14ac:dyDescent="0.2">
      <c r="K61" s="7" t="s">
        <v>62</v>
      </c>
      <c r="L61" s="10"/>
      <c r="M61" s="10"/>
      <c r="N61" s="10"/>
      <c r="O61" s="10"/>
      <c r="P61" s="10"/>
      <c r="Q61" s="10"/>
      <c r="R61" s="8" t="e">
        <f t="shared" si="4"/>
        <v>#DIV/0!</v>
      </c>
      <c r="S61" s="8" t="e">
        <f t="shared" si="5"/>
        <v>#DIV/0!</v>
      </c>
      <c r="T61" s="8"/>
      <c r="U61" s="8"/>
    </row>
    <row r="62" spans="11:21" x14ac:dyDescent="0.2">
      <c r="K62" s="7" t="s">
        <v>63</v>
      </c>
      <c r="L62" s="10"/>
      <c r="M62" s="10"/>
      <c r="N62" s="10"/>
      <c r="O62" s="10"/>
      <c r="P62" s="10"/>
      <c r="Q62" s="10"/>
      <c r="R62" s="8" t="e">
        <f t="shared" si="4"/>
        <v>#DIV/0!</v>
      </c>
      <c r="S62" s="8" t="e">
        <f t="shared" si="5"/>
        <v>#DIV/0!</v>
      </c>
      <c r="T62" s="8"/>
      <c r="U62" s="10"/>
    </row>
    <row r="63" spans="11:21" x14ac:dyDescent="0.2">
      <c r="K63" s="7" t="s">
        <v>64</v>
      </c>
      <c r="L63" s="10"/>
      <c r="M63" s="10"/>
      <c r="N63" s="10"/>
      <c r="O63" s="10"/>
      <c r="P63" s="10"/>
      <c r="Q63" s="10"/>
      <c r="R63" s="8" t="e">
        <f t="shared" si="4"/>
        <v>#DIV/0!</v>
      </c>
      <c r="S63" s="8" t="e">
        <f t="shared" si="5"/>
        <v>#DIV/0!</v>
      </c>
      <c r="T63" s="8"/>
      <c r="U63" s="8"/>
    </row>
    <row r="64" spans="11:21" x14ac:dyDescent="0.2">
      <c r="K64" s="7" t="s">
        <v>65</v>
      </c>
      <c r="L64" s="10"/>
      <c r="M64" s="10"/>
      <c r="N64" s="10"/>
      <c r="O64" s="10"/>
      <c r="P64" s="10"/>
      <c r="Q64" s="10"/>
      <c r="R64" s="8" t="e">
        <f t="shared" si="4"/>
        <v>#DIV/0!</v>
      </c>
      <c r="S64" s="8" t="e">
        <f t="shared" si="5"/>
        <v>#DIV/0!</v>
      </c>
      <c r="T64" s="8"/>
      <c r="U64" s="8"/>
    </row>
    <row r="65" spans="11:21" x14ac:dyDescent="0.2">
      <c r="K65" s="7" t="s">
        <v>66</v>
      </c>
      <c r="L65" s="10"/>
      <c r="M65" s="8"/>
      <c r="N65" s="8"/>
      <c r="O65" s="8"/>
      <c r="P65" s="8"/>
      <c r="Q65" s="8"/>
      <c r="R65" s="8" t="e">
        <f t="shared" si="4"/>
        <v>#DIV/0!</v>
      </c>
      <c r="S65" s="8" t="e">
        <f t="shared" si="5"/>
        <v>#DIV/0!</v>
      </c>
      <c r="T65" s="8"/>
      <c r="U65" s="8"/>
    </row>
    <row r="66" spans="11:21" x14ac:dyDescent="0.2">
      <c r="K66" s="7" t="s">
        <v>67</v>
      </c>
      <c r="L66" s="10"/>
      <c r="M66" s="10"/>
      <c r="N66" s="8"/>
      <c r="O66" s="8"/>
      <c r="P66" s="8"/>
      <c r="Q66" s="8"/>
      <c r="R66" s="8" t="e">
        <f t="shared" si="4"/>
        <v>#DIV/0!</v>
      </c>
      <c r="S66" s="8" t="e">
        <f t="shared" si="5"/>
        <v>#DIV/0!</v>
      </c>
      <c r="T66" s="8"/>
      <c r="U66" s="8"/>
    </row>
    <row r="67" spans="11:21" x14ac:dyDescent="0.2">
      <c r="K67" s="7" t="s">
        <v>68</v>
      </c>
      <c r="L67" s="10"/>
      <c r="M67" s="8"/>
      <c r="N67" s="8"/>
      <c r="O67" s="8"/>
      <c r="P67" s="8"/>
      <c r="Q67" s="8"/>
      <c r="R67" s="8" t="e">
        <f t="shared" si="4"/>
        <v>#DIV/0!</v>
      </c>
      <c r="S67" s="8" t="e">
        <f t="shared" si="5"/>
        <v>#DIV/0!</v>
      </c>
      <c r="T67" s="8"/>
      <c r="U67" s="8"/>
    </row>
    <row r="68" spans="11:21" x14ac:dyDescent="0.2">
      <c r="K68" s="7" t="s">
        <v>69</v>
      </c>
      <c r="L68" s="10"/>
      <c r="M68" s="8"/>
      <c r="N68" s="8"/>
      <c r="O68" s="8"/>
      <c r="P68" s="8"/>
      <c r="Q68" s="8"/>
      <c r="R68" s="8" t="e">
        <f t="shared" si="4"/>
        <v>#DIV/0!</v>
      </c>
      <c r="S68" s="8" t="e">
        <f t="shared" si="5"/>
        <v>#DIV/0!</v>
      </c>
      <c r="T68" s="8"/>
      <c r="U68" s="8"/>
    </row>
    <row r="69" spans="11:21" x14ac:dyDescent="0.2">
      <c r="K69" s="7" t="s">
        <v>70</v>
      </c>
      <c r="L69" s="10"/>
      <c r="M69" s="8"/>
      <c r="N69" s="8"/>
      <c r="O69" s="8"/>
      <c r="P69" s="8"/>
      <c r="Q69" s="8"/>
      <c r="R69" s="8" t="e">
        <f t="shared" si="4"/>
        <v>#DIV/0!</v>
      </c>
      <c r="S69" s="8" t="e">
        <f t="shared" si="5"/>
        <v>#DIV/0!</v>
      </c>
      <c r="T69" s="10"/>
      <c r="U69" s="8"/>
    </row>
    <row r="70" spans="11:21" x14ac:dyDescent="0.2">
      <c r="K70" s="7" t="s">
        <v>71</v>
      </c>
      <c r="L70" s="10"/>
      <c r="M70" s="8"/>
      <c r="N70" s="8"/>
      <c r="O70" s="8"/>
      <c r="P70" s="8"/>
      <c r="Q70" s="8"/>
      <c r="R70" s="8" t="e">
        <f t="shared" si="4"/>
        <v>#DIV/0!</v>
      </c>
      <c r="S70" s="8" t="e">
        <f t="shared" si="5"/>
        <v>#DIV/0!</v>
      </c>
      <c r="T70" s="8"/>
      <c r="U70" s="8"/>
    </row>
    <row r="71" spans="11:21" x14ac:dyDescent="0.2">
      <c r="K71" s="7" t="s">
        <v>72</v>
      </c>
      <c r="L71" s="10"/>
      <c r="M71" s="8"/>
      <c r="N71" s="8"/>
      <c r="O71" s="8"/>
      <c r="P71" s="8"/>
      <c r="Q71" s="8"/>
      <c r="R71" s="8" t="e">
        <f t="shared" si="4"/>
        <v>#DIV/0!</v>
      </c>
      <c r="S71" s="8" t="e">
        <f t="shared" si="5"/>
        <v>#DIV/0!</v>
      </c>
      <c r="T71" s="8"/>
      <c r="U71" s="8"/>
    </row>
    <row r="72" spans="11:21" x14ac:dyDescent="0.2">
      <c r="K72" s="7" t="s">
        <v>73</v>
      </c>
      <c r="L72" s="10"/>
      <c r="M72" s="8"/>
      <c r="N72" s="8"/>
      <c r="O72" s="8"/>
      <c r="P72" s="8"/>
      <c r="Q72" s="8"/>
      <c r="R72" s="8" t="e">
        <f t="shared" si="4"/>
        <v>#DIV/0!</v>
      </c>
      <c r="S72" s="8" t="e">
        <f t="shared" si="5"/>
        <v>#DIV/0!</v>
      </c>
      <c r="T72" s="8"/>
      <c r="U72" s="8"/>
    </row>
    <row r="73" spans="11:21" x14ac:dyDescent="0.2">
      <c r="K73" s="7" t="s">
        <v>74</v>
      </c>
      <c r="L73" s="7"/>
      <c r="M73" s="8"/>
      <c r="N73" s="8"/>
      <c r="O73" s="8"/>
      <c r="P73" s="8"/>
      <c r="Q73" s="8"/>
      <c r="R73" s="8" t="e">
        <f t="shared" si="4"/>
        <v>#DIV/0!</v>
      </c>
      <c r="S73" s="8" t="e">
        <f t="shared" si="5"/>
        <v>#DIV/0!</v>
      </c>
      <c r="T73" s="8"/>
      <c r="U73" s="8"/>
    </row>
    <row r="74" spans="11:21" x14ac:dyDescent="0.2">
      <c r="K74" s="7" t="s">
        <v>75</v>
      </c>
      <c r="L74" s="7"/>
      <c r="M74" s="8"/>
      <c r="N74" s="8"/>
      <c r="O74" s="8"/>
      <c r="P74" s="8"/>
      <c r="Q74" s="8"/>
      <c r="R74" s="8" t="e">
        <f t="shared" si="4"/>
        <v>#DIV/0!</v>
      </c>
      <c r="S74" s="8" t="e">
        <f t="shared" si="5"/>
        <v>#DIV/0!</v>
      </c>
      <c r="T74" s="8"/>
      <c r="U74" s="8"/>
    </row>
    <row r="75" spans="11:21" x14ac:dyDescent="0.2">
      <c r="K75" s="7" t="s">
        <v>76</v>
      </c>
      <c r="L75" s="7"/>
      <c r="M75" s="8"/>
      <c r="N75" s="8"/>
      <c r="O75" s="8"/>
      <c r="P75" s="8"/>
      <c r="Q75" s="8"/>
      <c r="R75" s="8" t="e">
        <f t="shared" si="4"/>
        <v>#DIV/0!</v>
      </c>
      <c r="S75" s="8" t="e">
        <f t="shared" si="5"/>
        <v>#DIV/0!</v>
      </c>
      <c r="T75" s="8"/>
      <c r="U75" s="8"/>
    </row>
    <row r="76" spans="11:21" x14ac:dyDescent="0.2">
      <c r="K76" s="7" t="s">
        <v>77</v>
      </c>
      <c r="L76" s="7"/>
      <c r="M76" s="8"/>
      <c r="N76" s="8"/>
      <c r="O76" s="8"/>
      <c r="P76" s="8"/>
      <c r="Q76" s="8"/>
      <c r="R76" s="8" t="e">
        <f t="shared" si="4"/>
        <v>#DIV/0!</v>
      </c>
      <c r="S76" s="8" t="e">
        <f t="shared" si="5"/>
        <v>#DIV/0!</v>
      </c>
      <c r="T76" s="8"/>
      <c r="U76" s="8"/>
    </row>
    <row r="77" spans="11:21" x14ac:dyDescent="0.2">
      <c r="K77" s="7" t="s">
        <v>78</v>
      </c>
      <c r="L77" s="7"/>
      <c r="M77" s="8"/>
      <c r="N77" s="8"/>
      <c r="O77" s="8"/>
      <c r="P77" s="8"/>
      <c r="Q77" s="8"/>
      <c r="R77" s="8" t="e">
        <f t="shared" si="4"/>
        <v>#DIV/0!</v>
      </c>
      <c r="S77" s="8" t="e">
        <f t="shared" si="5"/>
        <v>#DIV/0!</v>
      </c>
      <c r="T77" s="8"/>
      <c r="U77" s="8"/>
    </row>
    <row r="78" spans="11:21" x14ac:dyDescent="0.2">
      <c r="K78" s="7" t="s">
        <v>79</v>
      </c>
      <c r="L78" s="7"/>
      <c r="M78" s="8"/>
      <c r="N78" s="8"/>
      <c r="O78" s="8"/>
      <c r="P78" s="8"/>
      <c r="Q78" s="8"/>
      <c r="R78" s="8" t="e">
        <f t="shared" si="4"/>
        <v>#DIV/0!</v>
      </c>
      <c r="S78" s="8" t="e">
        <f t="shared" si="5"/>
        <v>#DIV/0!</v>
      </c>
      <c r="T78" s="8"/>
      <c r="U78" s="8"/>
    </row>
    <row r="79" spans="11:21" x14ac:dyDescent="0.2">
      <c r="K79" s="7" t="s">
        <v>80</v>
      </c>
      <c r="L79" s="7"/>
      <c r="M79" s="8"/>
      <c r="N79" s="8"/>
      <c r="O79" s="8"/>
      <c r="P79" s="8"/>
      <c r="Q79" s="8"/>
      <c r="R79" s="8" t="e">
        <f t="shared" si="4"/>
        <v>#DIV/0!</v>
      </c>
      <c r="S79" s="8" t="e">
        <f t="shared" si="5"/>
        <v>#DIV/0!</v>
      </c>
      <c r="T79" s="8"/>
      <c r="U79" s="8"/>
    </row>
    <row r="80" spans="11:21" x14ac:dyDescent="0.2">
      <c r="K80" s="8"/>
      <c r="L80" s="10" t="s">
        <v>149</v>
      </c>
      <c r="M80" s="8"/>
      <c r="N80" s="8"/>
      <c r="O80" s="8"/>
      <c r="P80" s="8"/>
      <c r="Q80" s="8"/>
      <c r="R80" s="8"/>
      <c r="S80" s="8"/>
      <c r="T80" s="8"/>
      <c r="U80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C0072-D342-C346-926D-94859D3D1EB9}">
  <dimension ref="B2:Y79"/>
  <sheetViews>
    <sheetView tabSelected="1" topLeftCell="A4" zoomScale="83" workbookViewId="0">
      <selection activeCell="F31" sqref="F31"/>
    </sheetView>
  </sheetViews>
  <sheetFormatPr baseColWidth="10" defaultRowHeight="16" x14ac:dyDescent="0.2"/>
  <cols>
    <col min="1" max="1" width="10.83203125" style="20"/>
    <col min="2" max="2" width="11" style="20" customWidth="1"/>
    <col min="3" max="11" width="10.83203125" style="20"/>
    <col min="12" max="12" width="17" style="20" customWidth="1"/>
    <col min="13" max="16384" width="10.83203125" style="20"/>
  </cols>
  <sheetData>
    <row r="2" spans="2:25" x14ac:dyDescent="0.2">
      <c r="B2" s="18" t="s">
        <v>14</v>
      </c>
      <c r="C2" s="19"/>
      <c r="D2" s="19"/>
      <c r="E2" s="19"/>
      <c r="F2" s="19"/>
      <c r="G2" s="19"/>
      <c r="H2" s="19"/>
      <c r="I2" s="19"/>
      <c r="K2" s="21" t="s">
        <v>15</v>
      </c>
      <c r="L2" s="22"/>
      <c r="M2" s="22"/>
      <c r="N2" s="22"/>
      <c r="O2" s="22"/>
      <c r="P2" s="22"/>
      <c r="Q2" s="22"/>
      <c r="R2" s="22"/>
    </row>
    <row r="3" spans="2:25" x14ac:dyDescent="0.2">
      <c r="B3" s="18" t="s">
        <v>5</v>
      </c>
      <c r="C3" s="18" t="s">
        <v>6</v>
      </c>
      <c r="D3" s="18" t="s">
        <v>7</v>
      </c>
      <c r="E3" s="18" t="s">
        <v>8</v>
      </c>
      <c r="F3" s="18" t="s">
        <v>9</v>
      </c>
      <c r="G3" s="18" t="s">
        <v>10</v>
      </c>
      <c r="H3" s="19"/>
      <c r="I3" s="9" t="s">
        <v>413</v>
      </c>
      <c r="K3" s="21" t="s">
        <v>5</v>
      </c>
      <c r="L3" s="21" t="s">
        <v>6</v>
      </c>
      <c r="M3" s="21" t="s">
        <v>7</v>
      </c>
      <c r="N3" s="21" t="s">
        <v>8</v>
      </c>
      <c r="O3" s="21" t="s">
        <v>9</v>
      </c>
      <c r="P3" s="21" t="s">
        <v>10</v>
      </c>
      <c r="Q3" s="22"/>
      <c r="R3" s="9" t="s">
        <v>414</v>
      </c>
    </row>
    <row r="4" spans="2:25" x14ac:dyDescent="0.2">
      <c r="B4" s="18" t="s">
        <v>0</v>
      </c>
      <c r="C4" s="9">
        <v>1.1144434213638299</v>
      </c>
      <c r="D4" s="9">
        <v>1.30044841766357</v>
      </c>
      <c r="E4" s="9">
        <v>0.803530633449554</v>
      </c>
      <c r="F4" s="9">
        <v>1.0251114368438701</v>
      </c>
      <c r="G4" s="9">
        <v>1.2340115308761499</v>
      </c>
      <c r="H4" s="19"/>
      <c r="I4" s="19"/>
      <c r="K4" s="21" t="s">
        <v>0</v>
      </c>
      <c r="L4" s="9">
        <v>2.7853980064392001</v>
      </c>
      <c r="M4" s="9">
        <v>2.47010326385498</v>
      </c>
      <c r="N4" s="9">
        <v>2.3487901687621999</v>
      </c>
      <c r="O4" s="9">
        <v>3.6309168338775599</v>
      </c>
      <c r="P4" s="9">
        <v>2.2265560626983598</v>
      </c>
      <c r="Q4" s="22"/>
      <c r="R4" s="22"/>
    </row>
    <row r="5" spans="2:25" x14ac:dyDescent="0.2">
      <c r="B5" s="18" t="s">
        <v>1</v>
      </c>
      <c r="C5" s="9">
        <v>1.3320076465606601</v>
      </c>
      <c r="D5" s="9">
        <v>1.19498634338378</v>
      </c>
      <c r="E5" s="9">
        <v>1.0847064256668</v>
      </c>
      <c r="F5" s="9">
        <v>1.50235724449157</v>
      </c>
      <c r="G5" s="9">
        <v>1.39805972576141</v>
      </c>
      <c r="H5" s="19"/>
      <c r="I5" s="19"/>
      <c r="K5" s="21" t="s">
        <v>1</v>
      </c>
      <c r="L5" s="9">
        <v>2.6268181800842201</v>
      </c>
      <c r="M5" s="9">
        <v>2.5394151210784899</v>
      </c>
      <c r="N5" s="9">
        <v>2.4485309123992902</v>
      </c>
      <c r="O5" s="9">
        <v>2.62339067459106</v>
      </c>
      <c r="P5" s="9">
        <v>2.50149321556091</v>
      </c>
      <c r="Q5" s="22"/>
      <c r="R5" s="22"/>
    </row>
    <row r="6" spans="2:25" x14ac:dyDescent="0.2">
      <c r="B6" s="18" t="s">
        <v>2</v>
      </c>
      <c r="C6" s="9">
        <v>1.30705165863037</v>
      </c>
      <c r="D6" s="9">
        <v>1.18408834934234</v>
      </c>
      <c r="E6" s="9">
        <v>1.32169950008392</v>
      </c>
      <c r="F6" s="9">
        <v>0.97405076026916504</v>
      </c>
      <c r="G6" s="9">
        <v>1.57252597808837</v>
      </c>
      <c r="H6" s="19"/>
      <c r="I6" s="19"/>
      <c r="K6" s="21" t="s">
        <v>2</v>
      </c>
      <c r="L6" s="9">
        <v>2.6275575160980198</v>
      </c>
      <c r="M6" s="9">
        <v>2.4583544731140101</v>
      </c>
      <c r="N6" s="9">
        <v>2.3823854923248202</v>
      </c>
      <c r="O6" s="9">
        <v>3.34732460975646</v>
      </c>
      <c r="P6" s="9">
        <v>2.48130106925964</v>
      </c>
      <c r="Q6" s="22"/>
      <c r="R6" s="22"/>
    </row>
    <row r="7" spans="2:25" x14ac:dyDescent="0.2">
      <c r="B7" s="18" t="s">
        <v>3</v>
      </c>
      <c r="C7" s="9">
        <v>1.37657713890075</v>
      </c>
      <c r="D7" s="9">
        <v>1.3101494312286299</v>
      </c>
      <c r="E7" s="9">
        <v>1.0791101455688401</v>
      </c>
      <c r="F7" s="9">
        <v>0.99544841051101596</v>
      </c>
      <c r="G7" s="9">
        <v>1.3441232442855799</v>
      </c>
      <c r="H7" s="19"/>
      <c r="I7" s="19"/>
      <c r="K7" s="21" t="s">
        <v>3</v>
      </c>
      <c r="L7" s="9">
        <v>2.6425676345825102</v>
      </c>
      <c r="M7" s="9">
        <v>2.2648479938507</v>
      </c>
      <c r="N7" s="9">
        <v>2.8005633354186998</v>
      </c>
      <c r="O7" s="9">
        <v>2.3500506877899099</v>
      </c>
      <c r="P7" s="9">
        <v>2.36749815940856</v>
      </c>
      <c r="Q7" s="22"/>
      <c r="R7" s="22"/>
    </row>
    <row r="8" spans="2:25" x14ac:dyDescent="0.2">
      <c r="B8" s="18" t="s">
        <v>4</v>
      </c>
      <c r="C8" s="9">
        <v>1.31005823612213</v>
      </c>
      <c r="D8" s="9">
        <v>1.2284686565399101</v>
      </c>
      <c r="E8" s="9">
        <v>1.2956967353820801</v>
      </c>
      <c r="F8" s="9">
        <v>0.97567921876907304</v>
      </c>
      <c r="G8" s="9">
        <v>1.0885434150695801</v>
      </c>
      <c r="H8" s="19"/>
      <c r="I8" s="19"/>
      <c r="K8" s="21" t="s">
        <v>4</v>
      </c>
      <c r="L8" s="9">
        <v>2.8697702884674001</v>
      </c>
      <c r="M8" s="9">
        <v>2.5505695343017498</v>
      </c>
      <c r="N8" s="9">
        <v>2.3752262592315598</v>
      </c>
      <c r="O8" s="9">
        <v>3.13956093788146</v>
      </c>
      <c r="P8" s="9">
        <v>2.1344566345214799</v>
      </c>
      <c r="Q8" s="22"/>
      <c r="R8" s="22"/>
    </row>
    <row r="9" spans="2:25" x14ac:dyDescent="0.2">
      <c r="B9" s="18" t="s">
        <v>11</v>
      </c>
      <c r="C9" s="19">
        <f>AVERAGE(C4:C8)</f>
        <v>1.2880276203155478</v>
      </c>
      <c r="D9" s="19">
        <f t="shared" ref="D9:G9" si="0">AVERAGE(D4:D8)</f>
        <v>1.2436282396316458</v>
      </c>
      <c r="E9" s="19">
        <f t="shared" si="0"/>
        <v>1.1169486880302388</v>
      </c>
      <c r="F9" s="19">
        <f t="shared" si="0"/>
        <v>1.0945294141769388</v>
      </c>
      <c r="G9" s="19">
        <f t="shared" si="0"/>
        <v>1.327452778816218</v>
      </c>
      <c r="H9" s="18" t="s">
        <v>13</v>
      </c>
      <c r="I9" s="18">
        <f>AVERAGE(C4:G8)</f>
        <v>1.2141173481941179</v>
      </c>
      <c r="K9" s="21" t="s">
        <v>11</v>
      </c>
      <c r="L9" s="22">
        <f>AVERAGE(L4:L8)</f>
        <v>2.7104223251342701</v>
      </c>
      <c r="M9" s="22">
        <f>AVERAGE(M4:M8)</f>
        <v>2.456658077239986</v>
      </c>
      <c r="N9" s="22">
        <f t="shared" ref="N9:P9" si="1">AVERAGE(N4:N8)</f>
        <v>2.4710992336273141</v>
      </c>
      <c r="O9" s="22">
        <f t="shared" si="1"/>
        <v>3.0182487487792899</v>
      </c>
      <c r="P9" s="22">
        <f t="shared" si="1"/>
        <v>2.3422610282897898</v>
      </c>
      <c r="Q9" s="21" t="s">
        <v>13</v>
      </c>
      <c r="R9" s="21">
        <f>AVERAGE(L4:P8)</f>
        <v>2.5997378826141304</v>
      </c>
    </row>
    <row r="10" spans="2:25" x14ac:dyDescent="0.2">
      <c r="B10" s="18" t="s">
        <v>12</v>
      </c>
      <c r="C10" s="19">
        <f>STDEV(C4:C8)</f>
        <v>0.10093809506638519</v>
      </c>
      <c r="D10" s="19">
        <f t="shared" ref="D10:G10" si="2">STDEV(D4:D8)</f>
        <v>5.8724882138724191E-2</v>
      </c>
      <c r="E10" s="19">
        <f t="shared" si="2"/>
        <v>0.20891143768580209</v>
      </c>
      <c r="F10" s="19">
        <f t="shared" si="2"/>
        <v>0.228910416451239</v>
      </c>
      <c r="G10" s="19">
        <f t="shared" si="2"/>
        <v>0.18106150148485081</v>
      </c>
      <c r="H10" s="18" t="s">
        <v>12</v>
      </c>
      <c r="I10" s="18">
        <f>STDEV(C4:G8)</f>
        <v>0.18079283719462189</v>
      </c>
      <c r="K10" s="21" t="s">
        <v>12</v>
      </c>
      <c r="L10" s="22">
        <f>STDEV(L4:L8)</f>
        <v>0.11121332528253314</v>
      </c>
      <c r="M10" s="22">
        <f>STDEV(M4:M8)</f>
        <v>0.11472014749405379</v>
      </c>
      <c r="N10" s="22">
        <f t="shared" ref="N10:P10" si="3">STDEV(N4:N8)</f>
        <v>0.1878012153553654</v>
      </c>
      <c r="O10" s="22">
        <f t="shared" si="3"/>
        <v>0.52458824316367803</v>
      </c>
      <c r="P10" s="22">
        <f t="shared" si="3"/>
        <v>0.15960438619840425</v>
      </c>
      <c r="Q10" s="21" t="s">
        <v>12</v>
      </c>
      <c r="R10" s="21">
        <f>STDEV(L4:P8)</f>
        <v>0.34757741705802475</v>
      </c>
    </row>
    <row r="11" spans="2:25" x14ac:dyDescent="0.2">
      <c r="B11" s="19"/>
      <c r="C11" s="19"/>
      <c r="D11" s="19"/>
      <c r="E11" s="19"/>
      <c r="F11" s="19"/>
      <c r="G11" s="19"/>
      <c r="H11" s="19"/>
      <c r="I11" s="19"/>
      <c r="K11" s="22"/>
      <c r="L11" s="22"/>
      <c r="M11" s="22"/>
      <c r="N11" s="22"/>
      <c r="O11" s="22"/>
      <c r="P11" s="22"/>
      <c r="Q11" s="22"/>
      <c r="R11" s="22"/>
    </row>
    <row r="15" spans="2:25" x14ac:dyDescent="0.2">
      <c r="B15" s="25" t="s">
        <v>16</v>
      </c>
      <c r="C15" s="26"/>
      <c r="D15" s="26"/>
      <c r="E15" s="26"/>
      <c r="F15" s="26"/>
      <c r="G15" s="26"/>
      <c r="H15" s="26"/>
      <c r="I15" s="26"/>
      <c r="K15" s="13" t="s">
        <v>17</v>
      </c>
      <c r="L15" s="13"/>
      <c r="M15" s="15"/>
      <c r="N15" s="15"/>
      <c r="O15" s="15"/>
      <c r="P15" s="15"/>
      <c r="Q15" s="15"/>
      <c r="R15" s="15"/>
      <c r="S15" s="15"/>
      <c r="T15" s="15"/>
      <c r="U15" s="15"/>
      <c r="W15" s="20" t="s">
        <v>291</v>
      </c>
      <c r="X15" s="20" t="s">
        <v>5</v>
      </c>
      <c r="Y15" s="20" t="s">
        <v>12</v>
      </c>
    </row>
    <row r="16" spans="2:25" x14ac:dyDescent="0.2">
      <c r="B16" s="25" t="s">
        <v>5</v>
      </c>
      <c r="C16" s="25" t="s">
        <v>6</v>
      </c>
      <c r="D16" s="25" t="s">
        <v>7</v>
      </c>
      <c r="E16" s="25" t="s">
        <v>8</v>
      </c>
      <c r="F16" s="25" t="s">
        <v>9</v>
      </c>
      <c r="G16" s="25" t="s">
        <v>10</v>
      </c>
      <c r="H16" s="26"/>
      <c r="I16" s="9" t="s">
        <v>415</v>
      </c>
      <c r="K16" s="13" t="s">
        <v>5</v>
      </c>
      <c r="L16" s="13" t="s">
        <v>83</v>
      </c>
      <c r="M16" s="13" t="s">
        <v>0</v>
      </c>
      <c r="N16" s="13" t="s">
        <v>1</v>
      </c>
      <c r="O16" s="13" t="s">
        <v>2</v>
      </c>
      <c r="P16" s="13" t="s">
        <v>3</v>
      </c>
      <c r="Q16" s="13" t="s">
        <v>4</v>
      </c>
      <c r="R16" s="13" t="s">
        <v>11</v>
      </c>
      <c r="S16" s="13" t="s">
        <v>12</v>
      </c>
      <c r="T16" s="15"/>
      <c r="U16" s="15"/>
      <c r="W16" s="20">
        <v>0</v>
      </c>
      <c r="X16" s="20">
        <f>AVERAGE(R17:R19)</f>
        <v>2.4096388220786991</v>
      </c>
      <c r="Y16" s="20">
        <f>AVERAGE(S17:S19)</f>
        <v>0.15162130590392253</v>
      </c>
    </row>
    <row r="17" spans="2:25" x14ac:dyDescent="0.2">
      <c r="B17" s="25" t="s">
        <v>0</v>
      </c>
      <c r="C17" s="9">
        <v>1.10878193378448</v>
      </c>
      <c r="D17" s="9">
        <v>0.89313870668411199</v>
      </c>
      <c r="E17" s="9">
        <v>0.88521414995193404</v>
      </c>
      <c r="F17" s="9">
        <v>1.25127160549163</v>
      </c>
      <c r="G17" s="9">
        <v>1.3007481098175</v>
      </c>
      <c r="H17" s="26"/>
      <c r="I17" s="26"/>
      <c r="K17" s="13" t="s">
        <v>18</v>
      </c>
      <c r="L17" s="17" t="s">
        <v>214</v>
      </c>
      <c r="M17" s="17">
        <v>2.4554693698882999</v>
      </c>
      <c r="N17" s="17">
        <v>2.3956699371337802</v>
      </c>
      <c r="O17" s="17">
        <v>2.4793701171875</v>
      </c>
      <c r="P17" s="17">
        <v>2.4783461093902499</v>
      </c>
      <c r="Q17" s="17">
        <v>2.4903705120086599</v>
      </c>
      <c r="R17" s="15">
        <f>AVERAGE(M17:Q17)</f>
        <v>2.4598452091216982</v>
      </c>
      <c r="S17" s="15">
        <f>STDEV(M17:Q17)</f>
        <v>3.8055594088732422E-2</v>
      </c>
      <c r="T17" s="15"/>
      <c r="U17" s="17"/>
      <c r="W17" s="20">
        <v>0.05</v>
      </c>
      <c r="X17" s="20">
        <f>AVERAGE(R20:R22)</f>
        <v>2.5891112208366351</v>
      </c>
      <c r="Y17" s="20">
        <f>AVERAGE(S20:S22)</f>
        <v>0.10459569735607992</v>
      </c>
    </row>
    <row r="18" spans="2:25" x14ac:dyDescent="0.2">
      <c r="B18" s="25" t="s">
        <v>1</v>
      </c>
      <c r="C18" s="9">
        <v>1.6656426191329901</v>
      </c>
      <c r="D18" s="9">
        <v>1.3580739498138401</v>
      </c>
      <c r="E18" s="9">
        <v>1.1225906610488801</v>
      </c>
      <c r="F18" s="9">
        <v>0.963797807693481</v>
      </c>
      <c r="G18" s="9">
        <v>1.5647557973861601</v>
      </c>
      <c r="H18" s="26"/>
      <c r="I18" s="27"/>
      <c r="K18" s="13" t="s">
        <v>19</v>
      </c>
      <c r="L18" s="17" t="s">
        <v>215</v>
      </c>
      <c r="M18" s="17">
        <v>2.3020851612090998</v>
      </c>
      <c r="N18" s="17">
        <v>2.2947189807891801</v>
      </c>
      <c r="O18" s="17">
        <v>2.37362456321716</v>
      </c>
      <c r="P18" s="17">
        <v>2.2959492206573402</v>
      </c>
      <c r="Q18" s="17">
        <v>2.4368896484375</v>
      </c>
      <c r="R18" s="15">
        <f t="shared" ref="R18:R79" si="4">AVERAGE(M18:Q18)</f>
        <v>2.3406535148620558</v>
      </c>
      <c r="S18" s="15">
        <f t="shared" ref="S18:S79" si="5">STDEV(M18:Q18)</f>
        <v>6.313568064002871E-2</v>
      </c>
      <c r="T18" s="15"/>
      <c r="U18" s="15"/>
      <c r="W18" s="20">
        <v>0.1</v>
      </c>
      <c r="X18" s="20">
        <f>AVERAGE(R23:R25)</f>
        <v>3.6029559771219843</v>
      </c>
      <c r="Y18" s="20">
        <f>AVERAGE(S23:S25)</f>
        <v>7.5661305005731289E-2</v>
      </c>
    </row>
    <row r="19" spans="2:25" x14ac:dyDescent="0.2">
      <c r="B19" s="25" t="s">
        <v>2</v>
      </c>
      <c r="C19" s="9">
        <v>1.04502260684967</v>
      </c>
      <c r="D19" s="9">
        <v>0.96230030059814398</v>
      </c>
      <c r="E19" s="9">
        <v>0.92827588319778398</v>
      </c>
      <c r="F19" s="9">
        <v>1.2498869895935001</v>
      </c>
      <c r="G19" s="9">
        <v>1.3558598756790099</v>
      </c>
      <c r="H19" s="26"/>
      <c r="I19" s="26"/>
      <c r="K19" s="13" t="s">
        <v>20</v>
      </c>
      <c r="L19" s="17" t="s">
        <v>214</v>
      </c>
      <c r="M19" s="17">
        <v>2.13110923767089</v>
      </c>
      <c r="N19" s="17">
        <v>2.4697577953338601</v>
      </c>
      <c r="O19" s="17" t="s">
        <v>216</v>
      </c>
      <c r="P19" s="17">
        <v>2.2011613845825102</v>
      </c>
      <c r="Q19" s="17">
        <v>2.9116425514221098</v>
      </c>
      <c r="R19" s="15">
        <f t="shared" si="4"/>
        <v>2.4284177422523427</v>
      </c>
      <c r="S19" s="15">
        <f t="shared" si="5"/>
        <v>0.35367264298300644</v>
      </c>
      <c r="T19" s="15"/>
      <c r="U19" s="15"/>
      <c r="W19" s="20">
        <v>0.15</v>
      </c>
      <c r="X19" s="20">
        <f>AVERAGE(R26:R28)</f>
        <v>3.0475813269615131</v>
      </c>
      <c r="Y19" s="20">
        <f>AVERAGE(S26:S28)</f>
        <v>3.7784060007961827E-2</v>
      </c>
    </row>
    <row r="20" spans="2:25" x14ac:dyDescent="0.2">
      <c r="B20" s="25" t="s">
        <v>3</v>
      </c>
      <c r="C20" s="9">
        <v>1.0072485208511299</v>
      </c>
      <c r="D20" s="9">
        <v>1.1953369379043499</v>
      </c>
      <c r="E20" s="9">
        <v>1.0559947490692101</v>
      </c>
      <c r="F20" s="9">
        <v>1.17110455036163</v>
      </c>
      <c r="G20" s="9">
        <v>1.3706208467483501</v>
      </c>
      <c r="H20" s="26"/>
      <c r="I20" s="26"/>
      <c r="K20" s="13" t="s">
        <v>21</v>
      </c>
      <c r="L20" s="17" t="s">
        <v>217</v>
      </c>
      <c r="M20" s="17">
        <v>2.6035356521606401</v>
      </c>
      <c r="N20" s="17">
        <v>2.6911985874175999</v>
      </c>
      <c r="O20" s="17">
        <v>2.6350078582763601</v>
      </c>
      <c r="P20" s="17">
        <v>2.67348289489746</v>
      </c>
      <c r="Q20" s="17">
        <v>2.5810353755950901</v>
      </c>
      <c r="R20" s="15">
        <f t="shared" si="4"/>
        <v>2.6368520736694299</v>
      </c>
      <c r="S20" s="15">
        <f t="shared" si="5"/>
        <v>4.6163431081618404E-2</v>
      </c>
      <c r="T20" s="15"/>
      <c r="U20" s="15"/>
      <c r="W20" s="20">
        <v>0.2</v>
      </c>
      <c r="X20" s="20">
        <f>AVERAGE(R29:R31)</f>
        <v>3.9879498759905458</v>
      </c>
      <c r="Y20" s="20">
        <f>AVERAGE(S29:S31)</f>
        <v>7.0770497736918445E-2</v>
      </c>
    </row>
    <row r="21" spans="2:25" x14ac:dyDescent="0.2">
      <c r="B21" s="25" t="s">
        <v>4</v>
      </c>
      <c r="C21" s="9">
        <v>1.0867161750793399</v>
      </c>
      <c r="D21" s="9">
        <v>1.1977611780166599</v>
      </c>
      <c r="E21" s="9">
        <v>0.973530292510986</v>
      </c>
      <c r="F21" s="9">
        <v>1.0402073860168399</v>
      </c>
      <c r="G21" s="9">
        <v>1.2906241416931099</v>
      </c>
      <c r="H21" s="26"/>
      <c r="I21" s="26"/>
      <c r="K21" s="13" t="s">
        <v>22</v>
      </c>
      <c r="L21" s="17" t="s">
        <v>218</v>
      </c>
      <c r="M21" s="17">
        <v>2.6996910572052002</v>
      </c>
      <c r="N21" s="17">
        <v>2.6752047538757302</v>
      </c>
      <c r="O21" s="17">
        <v>2.5653779506683301</v>
      </c>
      <c r="P21" s="17">
        <v>2.9058096408843901</v>
      </c>
      <c r="Q21" s="17">
        <v>2.7759861946105899</v>
      </c>
      <c r="R21" s="15">
        <f t="shared" si="4"/>
        <v>2.7244139194488484</v>
      </c>
      <c r="S21" s="15">
        <f t="shared" si="5"/>
        <v>0.12638167250471682</v>
      </c>
      <c r="T21" s="15"/>
      <c r="U21" s="15"/>
      <c r="W21" s="20">
        <v>0.25</v>
      </c>
      <c r="X21" s="20">
        <f>AVERAGE(R32:R34)</f>
        <v>4.5591366926828965</v>
      </c>
      <c r="Y21" s="20">
        <f>AVERAGE(S32:S34)</f>
        <v>6.0541662406292357E-2</v>
      </c>
    </row>
    <row r="22" spans="2:25" x14ac:dyDescent="0.2">
      <c r="B22" s="25" t="s">
        <v>11</v>
      </c>
      <c r="C22" s="26">
        <f>AVERAGE(C17:C21)</f>
        <v>1.182682371139522</v>
      </c>
      <c r="D22" s="26">
        <f t="shared" ref="D22:G22" si="6">AVERAGE(D17:D21)</f>
        <v>1.1213222146034212</v>
      </c>
      <c r="E22" s="26">
        <f t="shared" si="6"/>
        <v>0.99312114715575883</v>
      </c>
      <c r="F22" s="26">
        <f t="shared" si="6"/>
        <v>1.1352536678314162</v>
      </c>
      <c r="G22" s="26">
        <f t="shared" si="6"/>
        <v>1.376521754264826</v>
      </c>
      <c r="H22" s="25" t="s">
        <v>13</v>
      </c>
      <c r="I22" s="25">
        <f>AVERAGE(C17:G21)</f>
        <v>1.1617802309989886</v>
      </c>
      <c r="K22" s="13" t="s">
        <v>23</v>
      </c>
      <c r="L22" s="17" t="s">
        <v>219</v>
      </c>
      <c r="M22" s="17">
        <v>2.3957960605621298</v>
      </c>
      <c r="N22" s="17" t="s">
        <v>220</v>
      </c>
      <c r="O22" s="17">
        <v>2.2915575504302899</v>
      </c>
      <c r="P22" s="17">
        <v>2.3290946483611998</v>
      </c>
      <c r="Q22" s="17">
        <v>2.6078224182128902</v>
      </c>
      <c r="R22" s="15">
        <f t="shared" si="4"/>
        <v>2.4060676693916272</v>
      </c>
      <c r="S22" s="15">
        <f t="shared" si="5"/>
        <v>0.14124198848190453</v>
      </c>
      <c r="T22" s="15"/>
      <c r="U22" s="15"/>
      <c r="W22" s="20">
        <v>0.3</v>
      </c>
      <c r="X22" s="20">
        <f>AVERAGE(R35:R37)</f>
        <v>4.3545751571655229</v>
      </c>
      <c r="Y22" s="20">
        <f>AVERAGE(S35:S37)</f>
        <v>0.2528222081280731</v>
      </c>
    </row>
    <row r="23" spans="2:25" x14ac:dyDescent="0.2">
      <c r="B23" s="25" t="s">
        <v>12</v>
      </c>
      <c r="C23" s="26">
        <f>STDEV(C17:C21)</f>
        <v>0.27278592022902581</v>
      </c>
      <c r="D23" s="26">
        <f t="shared" ref="D23:G23" si="7">STDEV(D17:D21)</f>
        <v>0.19021577283338703</v>
      </c>
      <c r="E23" s="26">
        <f t="shared" si="7"/>
        <v>9.6109409963762854E-2</v>
      </c>
      <c r="F23" s="26">
        <f t="shared" si="7"/>
        <v>0.12876058573739529</v>
      </c>
      <c r="G23" s="26">
        <f t="shared" si="7"/>
        <v>0.1106953408734619</v>
      </c>
      <c r="H23" s="25" t="s">
        <v>12</v>
      </c>
      <c r="I23" s="25">
        <f>STDEV(C17:G21)</f>
        <v>0.20221089897220312</v>
      </c>
      <c r="K23" s="13" t="s">
        <v>24</v>
      </c>
      <c r="L23" s="17" t="s">
        <v>221</v>
      </c>
      <c r="M23" s="17">
        <v>4.5723557472229004</v>
      </c>
      <c r="N23" s="17">
        <v>4.5573596954345703</v>
      </c>
      <c r="O23" s="17">
        <v>4.5530862808227504</v>
      </c>
      <c r="P23" s="17">
        <v>4.5856962203979403</v>
      </c>
      <c r="Q23" s="17">
        <v>4.5573782920837402</v>
      </c>
      <c r="R23" s="15">
        <f t="shared" si="4"/>
        <v>4.5651752471923803</v>
      </c>
      <c r="S23" s="15">
        <f t="shared" si="5"/>
        <v>1.3607795450795943E-2</v>
      </c>
      <c r="T23" s="15"/>
      <c r="U23" s="15"/>
      <c r="W23" s="20">
        <v>0.35</v>
      </c>
      <c r="X23" s="20">
        <f>AVERAGE(R38:R40)</f>
        <v>5.1175691088040622</v>
      </c>
      <c r="Y23" s="20">
        <f>AVERAGE(S38:S40)</f>
        <v>2.9668472420046738E-2</v>
      </c>
    </row>
    <row r="24" spans="2:25" x14ac:dyDescent="0.2">
      <c r="B24" s="26"/>
      <c r="C24" s="26"/>
      <c r="D24" s="26"/>
      <c r="E24" s="26"/>
      <c r="F24" s="26"/>
      <c r="G24" s="26"/>
      <c r="H24" s="26"/>
      <c r="I24" s="26"/>
      <c r="K24" s="13" t="s">
        <v>25</v>
      </c>
      <c r="L24" s="17" t="s">
        <v>222</v>
      </c>
      <c r="M24" s="17">
        <v>3.1848115921020499</v>
      </c>
      <c r="N24" s="17">
        <v>3.1090703010559002</v>
      </c>
      <c r="O24" s="17">
        <v>3.1999940872192298</v>
      </c>
      <c r="P24" s="17">
        <v>3.1774592399597101</v>
      </c>
      <c r="Q24" s="17">
        <v>3.2842092514038002</v>
      </c>
      <c r="R24" s="15">
        <f t="shared" si="4"/>
        <v>3.1911088943481376</v>
      </c>
      <c r="S24" s="15">
        <f t="shared" si="5"/>
        <v>6.2655652191401692E-2</v>
      </c>
      <c r="T24" s="15"/>
      <c r="U24" s="15"/>
      <c r="W24" s="20">
        <v>0.4</v>
      </c>
      <c r="X24" s="20">
        <f>AVERAGE(R42:R43)</f>
        <v>3.2532419204711882</v>
      </c>
      <c r="Y24" s="20">
        <f>AVERAGE(S42:S43)</f>
        <v>2.7771603993336152E-2</v>
      </c>
    </row>
    <row r="25" spans="2:25" x14ac:dyDescent="0.2">
      <c r="B25" s="29"/>
      <c r="K25" s="13" t="s">
        <v>26</v>
      </c>
      <c r="L25" s="17" t="s">
        <v>223</v>
      </c>
      <c r="M25" s="17">
        <v>3.0093386173248202</v>
      </c>
      <c r="N25" s="17">
        <v>2.8607730865478498</v>
      </c>
      <c r="O25" s="17">
        <v>3.27203297615051</v>
      </c>
      <c r="P25" s="17">
        <v>3.1046895980834899</v>
      </c>
      <c r="Q25" s="17">
        <v>3.0160846710204998</v>
      </c>
      <c r="R25" s="15">
        <f t="shared" si="4"/>
        <v>3.0525837898254338</v>
      </c>
      <c r="S25" s="15">
        <f t="shared" si="5"/>
        <v>0.15072046737499623</v>
      </c>
      <c r="T25" s="15"/>
      <c r="U25" s="15"/>
      <c r="W25" s="20">
        <v>0.45</v>
      </c>
      <c r="X25" s="20">
        <f>AVERAGE(R44:R46)</f>
        <v>4.208014774322506</v>
      </c>
      <c r="Y25" s="20">
        <f>AVERAGE(S44:S46)</f>
        <v>7.756309416853284E-2</v>
      </c>
    </row>
    <row r="26" spans="2:25" x14ac:dyDescent="0.2">
      <c r="B26" s="29"/>
      <c r="C26" s="29"/>
      <c r="D26" s="29"/>
      <c r="E26" s="29"/>
      <c r="F26" s="29"/>
      <c r="G26" s="29"/>
      <c r="K26" s="13" t="s">
        <v>27</v>
      </c>
      <c r="L26" s="17" t="s">
        <v>224</v>
      </c>
      <c r="M26" s="17">
        <v>2.4564945697784402</v>
      </c>
      <c r="N26" s="17">
        <v>2.42484307289123</v>
      </c>
      <c r="O26" s="17">
        <v>2.4872972965240399</v>
      </c>
      <c r="P26" s="17">
        <v>2.4547929763793901</v>
      </c>
      <c r="Q26" s="17">
        <v>2.5181140899658199</v>
      </c>
      <c r="R26" s="15">
        <f t="shared" si="4"/>
        <v>2.4683084011077843</v>
      </c>
      <c r="S26" s="15">
        <f t="shared" si="5"/>
        <v>3.5541007530009654E-2</v>
      </c>
      <c r="T26" s="15"/>
      <c r="U26" s="15"/>
      <c r="W26" s="20">
        <v>0.5</v>
      </c>
      <c r="X26" s="20">
        <f>AVERAGE(R47:R49)</f>
        <v>4.2795912742614703</v>
      </c>
      <c r="Y26" s="20">
        <f>AVERAGE(S47:S49)</f>
        <v>0.12102410162483056</v>
      </c>
    </row>
    <row r="27" spans="2:25" x14ac:dyDescent="0.2">
      <c r="B27" s="29"/>
      <c r="C27" s="20" t="s">
        <v>416</v>
      </c>
      <c r="D27" s="20" t="s">
        <v>417</v>
      </c>
      <c r="E27" s="20" t="s">
        <v>418</v>
      </c>
      <c r="K27" s="13" t="s">
        <v>28</v>
      </c>
      <c r="L27" s="17" t="s">
        <v>225</v>
      </c>
      <c r="M27" s="17">
        <v>2.7437753677368102</v>
      </c>
      <c r="N27" s="17">
        <v>2.79009509086608</v>
      </c>
      <c r="O27" s="17">
        <v>2.7844362258911102</v>
      </c>
      <c r="P27" s="17" t="s">
        <v>226</v>
      </c>
      <c r="Q27" s="17">
        <v>2.8854498863220202</v>
      </c>
      <c r="R27" s="15">
        <f t="shared" si="4"/>
        <v>2.8009391427040051</v>
      </c>
      <c r="S27" s="15">
        <f t="shared" si="5"/>
        <v>5.9999174102557187E-2</v>
      </c>
      <c r="T27" s="15"/>
      <c r="U27" s="15"/>
      <c r="W27" s="20">
        <v>0.55000000000000004</v>
      </c>
      <c r="X27" s="20">
        <f>AVERAGE(R50:R52)</f>
        <v>3.6081207275390583</v>
      </c>
      <c r="Y27" s="20">
        <f>AVERAGE(S50:S52)</f>
        <v>5.1012543931105964E-2</v>
      </c>
    </row>
    <row r="28" spans="2:25" x14ac:dyDescent="0.2">
      <c r="B28" s="29"/>
      <c r="C28" s="9">
        <v>1.52825474739074</v>
      </c>
      <c r="D28" s="9">
        <v>0.93718564510345403</v>
      </c>
      <c r="E28" s="9">
        <v>0.96247184276580799</v>
      </c>
      <c r="K28" s="13" t="s">
        <v>29</v>
      </c>
      <c r="L28" s="17" t="s">
        <v>227</v>
      </c>
      <c r="M28" s="17">
        <v>3.8813450336456299</v>
      </c>
      <c r="N28" s="17">
        <v>3.8609552383422798</v>
      </c>
      <c r="O28" s="17">
        <v>3.8487124443054199</v>
      </c>
      <c r="P28" s="17">
        <v>3.8891024589538499</v>
      </c>
      <c r="Q28" s="17">
        <v>3.88736701011657</v>
      </c>
      <c r="R28" s="15">
        <f t="shared" si="4"/>
        <v>3.8734964370727498</v>
      </c>
      <c r="S28" s="15">
        <f t="shared" si="5"/>
        <v>1.7811998391318654E-2</v>
      </c>
      <c r="T28" s="15"/>
      <c r="U28" s="15"/>
      <c r="W28" s="20">
        <v>0.6</v>
      </c>
      <c r="X28" s="20" t="e">
        <f>AVERAGE(R53:R55)</f>
        <v>#DIV/0!</v>
      </c>
      <c r="Y28" s="20" t="e">
        <f>AVERAGE(S53:S55)</f>
        <v>#DIV/0!</v>
      </c>
    </row>
    <row r="29" spans="2:25" x14ac:dyDescent="0.2">
      <c r="B29" s="29"/>
      <c r="C29" s="9">
        <v>1.55507576465606</v>
      </c>
      <c r="D29" s="9">
        <v>0.81777548789978005</v>
      </c>
      <c r="E29" s="9">
        <v>0.92113798856735196</v>
      </c>
      <c r="K29" s="13" t="s">
        <v>30</v>
      </c>
      <c r="L29" s="17" t="s">
        <v>228</v>
      </c>
      <c r="M29" s="17">
        <v>4.2120900154113698</v>
      </c>
      <c r="N29" s="17">
        <v>4.3104448318481401</v>
      </c>
      <c r="O29" s="17">
        <v>4.3858547210693297</v>
      </c>
      <c r="P29" s="17">
        <v>4.40972805023193</v>
      </c>
      <c r="Q29" s="17">
        <v>4.38740730285644</v>
      </c>
      <c r="R29" s="15">
        <f t="shared" si="4"/>
        <v>4.3411049842834419</v>
      </c>
      <c r="S29" s="15">
        <f t="shared" si="5"/>
        <v>8.130263828472889E-2</v>
      </c>
      <c r="T29" s="15"/>
      <c r="U29" s="15"/>
      <c r="W29" s="20">
        <v>0.65</v>
      </c>
      <c r="X29" s="20" t="e">
        <f>AVERAGE(R56:R58)</f>
        <v>#DIV/0!</v>
      </c>
      <c r="Y29" s="20" t="e">
        <f>AVERAGE(S56:S58)</f>
        <v>#DIV/0!</v>
      </c>
    </row>
    <row r="30" spans="2:25" x14ac:dyDescent="0.2">
      <c r="B30" s="29"/>
      <c r="C30" s="9">
        <v>1.5087134838104199</v>
      </c>
      <c r="D30" s="9">
        <v>0.875790655612945</v>
      </c>
      <c r="E30" s="9">
        <v>0.86792284250259399</v>
      </c>
      <c r="K30" s="13" t="s">
        <v>31</v>
      </c>
      <c r="L30" s="17" t="s">
        <v>229</v>
      </c>
      <c r="M30" s="17" t="s">
        <v>230</v>
      </c>
      <c r="N30" s="17">
        <v>3.1125323772430402</v>
      </c>
      <c r="O30" s="17">
        <v>3.0920939445495601</v>
      </c>
      <c r="P30" s="17">
        <v>3.046875</v>
      </c>
      <c r="Q30" s="17">
        <v>3.0931725502014098</v>
      </c>
      <c r="R30" s="15">
        <f t="shared" si="4"/>
        <v>3.0861684679985029</v>
      </c>
      <c r="S30" s="15">
        <f t="shared" si="5"/>
        <v>2.7828048068245688E-2</v>
      </c>
      <c r="T30" s="15"/>
      <c r="U30" s="15"/>
      <c r="W30" s="20">
        <v>0.7</v>
      </c>
      <c r="X30" s="20" t="e">
        <f>AVERAGE(R59:R61)</f>
        <v>#DIV/0!</v>
      </c>
      <c r="Y30" s="20" t="e">
        <f>AVERAGE(S59:S61)</f>
        <v>#DIV/0!</v>
      </c>
    </row>
    <row r="31" spans="2:25" x14ac:dyDescent="0.2">
      <c r="B31" s="29"/>
      <c r="C31" s="9">
        <v>1.4482353925704901</v>
      </c>
      <c r="D31" s="9">
        <v>0.87105268239974898</v>
      </c>
      <c r="E31" s="9">
        <v>0.94931262731552102</v>
      </c>
      <c r="K31" s="13" t="s">
        <v>32</v>
      </c>
      <c r="L31" s="17" t="s">
        <v>231</v>
      </c>
      <c r="M31" s="17">
        <v>4.6054291725158603</v>
      </c>
      <c r="N31" s="17">
        <v>4.57952451705932</v>
      </c>
      <c r="O31" s="17">
        <v>4.3606724739074698</v>
      </c>
      <c r="P31" s="17">
        <v>4.60737752914428</v>
      </c>
      <c r="Q31" s="17">
        <v>4.5298771858215297</v>
      </c>
      <c r="R31" s="15">
        <f t="shared" si="4"/>
        <v>4.5365761756896923</v>
      </c>
      <c r="S31" s="15">
        <f t="shared" si="5"/>
        <v>0.10318080685778075</v>
      </c>
      <c r="T31" s="15"/>
      <c r="U31" s="15"/>
      <c r="W31" s="20">
        <v>0.75</v>
      </c>
      <c r="X31" s="20" t="e">
        <f>AVERAGE(R62:R64)</f>
        <v>#DIV/0!</v>
      </c>
      <c r="Y31" s="20" t="e">
        <f>AVERAGE(S62:S64)</f>
        <v>#DIV/0!</v>
      </c>
    </row>
    <row r="32" spans="2:25" x14ac:dyDescent="0.2">
      <c r="C32" s="9">
        <v>1.44710552692413</v>
      </c>
      <c r="D32" s="9">
        <v>0.92376029491424505</v>
      </c>
      <c r="E32" s="9">
        <v>0.74497371912002497</v>
      </c>
      <c r="K32" s="13" t="s">
        <v>33</v>
      </c>
      <c r="L32" s="17" t="s">
        <v>108</v>
      </c>
      <c r="M32" s="17">
        <v>3.1137070655822701</v>
      </c>
      <c r="N32" s="17">
        <v>3.1195409297943102</v>
      </c>
      <c r="O32" s="17">
        <v>3.0795426368713299</v>
      </c>
      <c r="P32" s="17" t="s">
        <v>232</v>
      </c>
      <c r="Q32" s="17">
        <v>3.1161258220672599</v>
      </c>
      <c r="R32" s="15">
        <f t="shared" si="4"/>
        <v>3.1072291135787928</v>
      </c>
      <c r="S32" s="15">
        <f t="shared" si="5"/>
        <v>1.8612156377716148E-2</v>
      </c>
      <c r="T32" s="15"/>
      <c r="U32" s="17"/>
      <c r="W32" s="20">
        <v>0.8</v>
      </c>
      <c r="X32" s="20" t="e">
        <f>AVERAGE(R65:R67)</f>
        <v>#DIV/0!</v>
      </c>
      <c r="Y32" s="20" t="e">
        <f>AVERAGE(S65:S67)</f>
        <v>#DIV/0!</v>
      </c>
    </row>
    <row r="33" spans="2:25" x14ac:dyDescent="0.2">
      <c r="B33" s="20" t="s">
        <v>419</v>
      </c>
      <c r="C33" s="20">
        <f>AVERAGE(C28:C32)</f>
        <v>1.4974769830703678</v>
      </c>
      <c r="D33" s="20">
        <f t="shared" ref="D33:E33" si="8">AVERAGE(D28:D32)</f>
        <v>0.88511295318603467</v>
      </c>
      <c r="E33" s="20">
        <f t="shared" si="8"/>
        <v>0.88916380405425988</v>
      </c>
      <c r="K33" s="13" t="s">
        <v>34</v>
      </c>
      <c r="L33" s="17" t="s">
        <v>233</v>
      </c>
      <c r="M33" s="17">
        <v>5.60221099853515</v>
      </c>
      <c r="N33" s="17">
        <v>5.3516268730163503</v>
      </c>
      <c r="O33" s="17">
        <v>5.5850567817687899</v>
      </c>
      <c r="P33" s="17" t="s">
        <v>234</v>
      </c>
      <c r="Q33" s="17">
        <v>5.6890349388122496</v>
      </c>
      <c r="R33" s="15">
        <f t="shared" si="4"/>
        <v>5.556982398033135</v>
      </c>
      <c r="S33" s="15">
        <f t="shared" si="5"/>
        <v>0.14427122894817099</v>
      </c>
      <c r="T33" s="15"/>
      <c r="U33" s="17"/>
      <c r="W33" s="20">
        <v>0.85</v>
      </c>
      <c r="X33" s="20" t="e">
        <f>AVERAGE(R68:R70)</f>
        <v>#DIV/0!</v>
      </c>
      <c r="Y33" s="20" t="e">
        <f>AVERAGE(S68:S70)</f>
        <v>#DIV/0!</v>
      </c>
    </row>
    <row r="34" spans="2:25" x14ac:dyDescent="0.2">
      <c r="B34" s="20" t="s">
        <v>420</v>
      </c>
      <c r="C34" s="20">
        <f>STDEV(C28:C32)</f>
        <v>4.8355886908544685E-2</v>
      </c>
      <c r="D34" s="20">
        <f t="shared" ref="D34:E34" si="9">STDEV(D28:D32)</f>
        <v>4.749766558470532E-2</v>
      </c>
      <c r="E34" s="20">
        <f t="shared" si="9"/>
        <v>8.8397195933619332E-2</v>
      </c>
      <c r="K34" s="13" t="s">
        <v>35</v>
      </c>
      <c r="L34" s="17" t="s">
        <v>108</v>
      </c>
      <c r="M34" s="17">
        <v>4.9993686676025302</v>
      </c>
      <c r="N34" s="17">
        <v>4.9966926574706996</v>
      </c>
      <c r="O34" s="17">
        <v>5.0223927497863698</v>
      </c>
      <c r="P34" s="17">
        <v>5.0415635108947701</v>
      </c>
      <c r="Q34" s="17">
        <v>5.0059752464294398</v>
      </c>
      <c r="R34" s="15">
        <f t="shared" si="4"/>
        <v>5.0131985664367615</v>
      </c>
      <c r="S34" s="15">
        <f t="shared" si="5"/>
        <v>1.8741601892989939E-2</v>
      </c>
      <c r="T34" s="15"/>
      <c r="U34" s="15"/>
      <c r="W34" s="20">
        <v>0.9</v>
      </c>
      <c r="X34" s="20" t="e">
        <f>AVERAGE(R71:R73)</f>
        <v>#DIV/0!</v>
      </c>
      <c r="Y34" s="20" t="e">
        <f>AVERAGE(S71:S73)</f>
        <v>#DIV/0!</v>
      </c>
    </row>
    <row r="35" spans="2:25" x14ac:dyDescent="0.2">
      <c r="K35" s="13" t="s">
        <v>36</v>
      </c>
      <c r="L35" s="17" t="s">
        <v>235</v>
      </c>
      <c r="M35" s="17">
        <v>2.7544279098510698</v>
      </c>
      <c r="N35" s="17">
        <v>2.78242015838623</v>
      </c>
      <c r="O35" s="17">
        <v>2.7305266857147199</v>
      </c>
      <c r="P35" s="17">
        <v>2.7472567558288499</v>
      </c>
      <c r="Q35" s="17">
        <v>2.35337805747985</v>
      </c>
      <c r="R35" s="15">
        <f t="shared" si="4"/>
        <v>2.6736019134521438</v>
      </c>
      <c r="S35" s="15">
        <f t="shared" si="5"/>
        <v>0.17998821875393811</v>
      </c>
      <c r="T35" s="15"/>
      <c r="U35" s="15"/>
      <c r="W35" s="20">
        <v>0.95</v>
      </c>
      <c r="X35" s="20" t="e">
        <f>AVERAGE(R74:R76)</f>
        <v>#DIV/0!</v>
      </c>
      <c r="Y35" s="20" t="e">
        <f>AVERAGE(S74:S76)</f>
        <v>#DIV/0!</v>
      </c>
    </row>
    <row r="36" spans="2:25" x14ac:dyDescent="0.2">
      <c r="K36" s="13" t="s">
        <v>37</v>
      </c>
      <c r="L36" s="17" t="s">
        <v>236</v>
      </c>
      <c r="M36" s="17">
        <v>6.3053908348083496</v>
      </c>
      <c r="N36" s="17">
        <v>6.0604214668273899</v>
      </c>
      <c r="O36" s="17">
        <v>5.7550549507141104</v>
      </c>
      <c r="P36" s="17">
        <v>6.2817969322204501</v>
      </c>
      <c r="Q36" s="17">
        <v>6.29426765441894</v>
      </c>
      <c r="R36" s="15">
        <f t="shared" si="4"/>
        <v>6.1393863677978473</v>
      </c>
      <c r="S36" s="15">
        <f t="shared" si="5"/>
        <v>0.23757764973523801</v>
      </c>
      <c r="T36" s="15"/>
      <c r="U36" s="15"/>
      <c r="W36" s="20">
        <v>1</v>
      </c>
      <c r="X36" s="20" t="e">
        <f>AVERAGE(R77:R79)</f>
        <v>#DIV/0!</v>
      </c>
      <c r="Y36" s="20" t="e">
        <f>AVERAGE(S77:S79)</f>
        <v>#DIV/0!</v>
      </c>
    </row>
    <row r="37" spans="2:25" x14ac:dyDescent="0.2">
      <c r="K37" s="13" t="s">
        <v>38</v>
      </c>
      <c r="L37" s="17" t="s">
        <v>235</v>
      </c>
      <c r="M37" s="17">
        <v>3.8913726806640598</v>
      </c>
      <c r="N37" s="17">
        <v>4.3312053680419904</v>
      </c>
      <c r="O37" s="17">
        <v>4.02490186691284</v>
      </c>
      <c r="P37" s="17">
        <v>4.7777452468871999</v>
      </c>
      <c r="Q37" s="17">
        <v>4.2284607887268004</v>
      </c>
      <c r="R37" s="15">
        <f t="shared" si="4"/>
        <v>4.2507371902465776</v>
      </c>
      <c r="S37" s="15">
        <f t="shared" si="5"/>
        <v>0.34090075589504315</v>
      </c>
      <c r="T37" s="15"/>
      <c r="U37" s="15"/>
    </row>
    <row r="38" spans="2:25" x14ac:dyDescent="0.2">
      <c r="K38" s="13" t="s">
        <v>39</v>
      </c>
      <c r="L38" s="17" t="s">
        <v>213</v>
      </c>
      <c r="M38" s="17" t="s">
        <v>237</v>
      </c>
      <c r="N38" s="17">
        <v>4.7993426322937003</v>
      </c>
      <c r="O38" s="17">
        <v>4.8129892349243102</v>
      </c>
      <c r="P38" s="17" t="s">
        <v>238</v>
      </c>
      <c r="Q38" s="17">
        <v>4.8091335296630797</v>
      </c>
      <c r="R38" s="15">
        <f t="shared" si="4"/>
        <v>4.8071551322936967</v>
      </c>
      <c r="S38" s="15">
        <f t="shared" si="5"/>
        <v>7.035124942232969E-3</v>
      </c>
      <c r="T38" s="17"/>
      <c r="U38" s="15"/>
      <c r="V38" s="28"/>
    </row>
    <row r="39" spans="2:25" x14ac:dyDescent="0.2">
      <c r="K39" s="13" t="s">
        <v>40</v>
      </c>
      <c r="L39" s="17" t="s">
        <v>239</v>
      </c>
      <c r="M39" s="17">
        <v>3.0984323024749698</v>
      </c>
      <c r="N39" s="17">
        <v>3.1046118736267001</v>
      </c>
      <c r="O39" s="17">
        <v>2.9668281078338601</v>
      </c>
      <c r="P39" s="17" t="s">
        <v>240</v>
      </c>
      <c r="Q39" s="17">
        <v>3.0191237926483101</v>
      </c>
      <c r="R39" s="15">
        <f t="shared" si="4"/>
        <v>3.0472490191459602</v>
      </c>
      <c r="S39" s="15">
        <f t="shared" si="5"/>
        <v>6.6253998390861935E-2</v>
      </c>
      <c r="T39" s="15"/>
      <c r="U39" s="15"/>
    </row>
    <row r="40" spans="2:25" x14ac:dyDescent="0.2">
      <c r="K40" s="13" t="s">
        <v>41</v>
      </c>
      <c r="L40" s="17" t="s">
        <v>127</v>
      </c>
      <c r="M40" s="17">
        <v>7.5087180137634197</v>
      </c>
      <c r="N40" s="17">
        <v>7.5131940841674796</v>
      </c>
      <c r="O40" s="17">
        <v>7.4789195060729901</v>
      </c>
      <c r="P40" s="17" t="s">
        <v>241</v>
      </c>
      <c r="Q40" s="17">
        <v>7.4923810958862296</v>
      </c>
      <c r="R40" s="15">
        <f t="shared" si="4"/>
        <v>7.4983031749725297</v>
      </c>
      <c r="S40" s="15">
        <f t="shared" si="5"/>
        <v>1.5716293927045318E-2</v>
      </c>
      <c r="T40" s="15"/>
      <c r="U40" s="15"/>
    </row>
    <row r="41" spans="2:25" x14ac:dyDescent="0.2">
      <c r="K41" s="13" t="s">
        <v>42</v>
      </c>
      <c r="L41" s="17" t="s">
        <v>127</v>
      </c>
      <c r="M41" s="17">
        <v>3.3031017780303902</v>
      </c>
      <c r="N41" s="17">
        <v>3.25127100944519</v>
      </c>
      <c r="O41" s="17">
        <v>3.3842477798461901</v>
      </c>
      <c r="P41" s="17">
        <v>3.2887680530547998</v>
      </c>
      <c r="Q41" s="17">
        <v>3.24958944320678</v>
      </c>
      <c r="R41" s="15">
        <f t="shared" si="4"/>
        <v>3.2953956127166699</v>
      </c>
      <c r="S41" s="15">
        <f t="shared" si="5"/>
        <v>5.4870763876495469E-2</v>
      </c>
      <c r="T41" s="15"/>
      <c r="U41" s="15"/>
    </row>
    <row r="42" spans="2:25" x14ac:dyDescent="0.2">
      <c r="K42" s="13" t="s">
        <v>43</v>
      </c>
      <c r="L42" s="17" t="s">
        <v>125</v>
      </c>
      <c r="M42" s="17">
        <v>3.0975606441497798</v>
      </c>
      <c r="N42" s="17">
        <v>3.0892803668975799</v>
      </c>
      <c r="O42" s="17">
        <v>3.08644342422485</v>
      </c>
      <c r="P42" s="17">
        <v>3.0391364097595202</v>
      </c>
      <c r="Q42" s="17">
        <v>3.17077112197875</v>
      </c>
      <c r="R42" s="15">
        <f t="shared" si="4"/>
        <v>3.0966383934020962</v>
      </c>
      <c r="S42" s="15">
        <f t="shared" si="5"/>
        <v>4.7331459057530313E-2</v>
      </c>
      <c r="T42" s="15"/>
      <c r="U42" s="17"/>
    </row>
    <row r="43" spans="2:25" x14ac:dyDescent="0.2">
      <c r="K43" s="13" t="s">
        <v>44</v>
      </c>
      <c r="L43" s="17" t="s">
        <v>195</v>
      </c>
      <c r="M43" s="17">
        <v>3.4153854846954301</v>
      </c>
      <c r="N43" s="17">
        <v>3.41785717010498</v>
      </c>
      <c r="O43" s="17">
        <v>3.4107398986816402</v>
      </c>
      <c r="P43" s="17">
        <v>3.3967187404632502</v>
      </c>
      <c r="Q43" s="17">
        <v>3.4085259437561</v>
      </c>
      <c r="R43" s="15">
        <f t="shared" si="4"/>
        <v>3.4098454475402802</v>
      </c>
      <c r="S43" s="15">
        <f t="shared" si="5"/>
        <v>8.2117489291419887E-3</v>
      </c>
      <c r="T43" s="15"/>
      <c r="U43" s="15"/>
    </row>
    <row r="44" spans="2:25" x14ac:dyDescent="0.2">
      <c r="K44" s="13" t="s">
        <v>45</v>
      </c>
      <c r="L44" s="17" t="s">
        <v>242</v>
      </c>
      <c r="M44" s="17">
        <v>3.2209022045135498</v>
      </c>
      <c r="N44" s="17" t="s">
        <v>243</v>
      </c>
      <c r="O44" s="17">
        <v>3.15134572982788</v>
      </c>
      <c r="P44" s="17" t="s">
        <v>244</v>
      </c>
      <c r="Q44" s="17">
        <v>3.22345995903015</v>
      </c>
      <c r="R44" s="15">
        <f t="shared" si="4"/>
        <v>3.1985692977905269</v>
      </c>
      <c r="S44" s="15">
        <f t="shared" si="5"/>
        <v>4.0916800405014886E-2</v>
      </c>
      <c r="T44" s="15"/>
      <c r="U44" s="15"/>
    </row>
    <row r="45" spans="2:25" x14ac:dyDescent="0.2">
      <c r="K45" s="13" t="s">
        <v>46</v>
      </c>
      <c r="L45" s="17" t="s">
        <v>242</v>
      </c>
      <c r="M45" s="17">
        <v>4.7752609252929599</v>
      </c>
      <c r="N45" s="17">
        <v>4.3830089569091797</v>
      </c>
      <c r="O45" s="17">
        <v>4.6854257583618102</v>
      </c>
      <c r="P45" s="17">
        <v>4.5343689918518004</v>
      </c>
      <c r="Q45" s="17">
        <v>4.73711729049682</v>
      </c>
      <c r="R45" s="15">
        <f t="shared" si="4"/>
        <v>4.6230363845825142</v>
      </c>
      <c r="S45" s="15">
        <f t="shared" si="5"/>
        <v>0.16244558351833391</v>
      </c>
      <c r="T45" s="15"/>
      <c r="U45" s="15"/>
    </row>
    <row r="46" spans="2:25" x14ac:dyDescent="0.2">
      <c r="K46" s="13" t="s">
        <v>47</v>
      </c>
      <c r="L46" s="17" t="s">
        <v>136</v>
      </c>
      <c r="M46" s="17">
        <v>4.7892975807189897</v>
      </c>
      <c r="N46" s="17">
        <v>4.7659931182861301</v>
      </c>
      <c r="O46" s="17">
        <v>4.8232293128967196</v>
      </c>
      <c r="P46" s="17">
        <v>4.8402080535888601</v>
      </c>
      <c r="Q46" s="17">
        <v>4.7934651374816797</v>
      </c>
      <c r="R46" s="15">
        <f t="shared" si="4"/>
        <v>4.8024386405944757</v>
      </c>
      <c r="S46" s="15">
        <f t="shared" si="5"/>
        <v>2.9326898582249735E-2</v>
      </c>
      <c r="T46" s="15"/>
      <c r="U46" s="15"/>
    </row>
    <row r="47" spans="2:25" x14ac:dyDescent="0.2">
      <c r="K47" s="13" t="s">
        <v>48</v>
      </c>
      <c r="L47" s="17" t="s">
        <v>134</v>
      </c>
      <c r="M47" s="17">
        <v>4.2846412658691397</v>
      </c>
      <c r="N47" s="17">
        <v>4.4242558479309002</v>
      </c>
      <c r="O47" s="17">
        <v>4.4318423271179199</v>
      </c>
      <c r="P47" s="17">
        <v>4.4939880371093697</v>
      </c>
      <c r="Q47" s="17">
        <v>4.3559947013854901</v>
      </c>
      <c r="R47" s="15">
        <f t="shared" si="4"/>
        <v>4.3981444358825641</v>
      </c>
      <c r="S47" s="15">
        <f t="shared" si="5"/>
        <v>8.0098251120515954E-2</v>
      </c>
      <c r="T47" s="15"/>
      <c r="U47" s="15"/>
    </row>
    <row r="48" spans="2:25" x14ac:dyDescent="0.2">
      <c r="K48" s="13" t="s">
        <v>49</v>
      </c>
      <c r="L48" s="17" t="s">
        <v>134</v>
      </c>
      <c r="M48" s="17">
        <v>3.7850205898284899</v>
      </c>
      <c r="N48" s="17">
        <v>4.2098660469055096</v>
      </c>
      <c r="O48" s="17">
        <v>3.8214986324310298</v>
      </c>
      <c r="P48" s="17">
        <v>3.6530063152313201</v>
      </c>
      <c r="Q48" s="17">
        <v>3.7725918292999201</v>
      </c>
      <c r="R48" s="15">
        <f t="shared" si="4"/>
        <v>3.8483966827392542</v>
      </c>
      <c r="S48" s="15">
        <f t="shared" si="5"/>
        <v>0.21173326794201414</v>
      </c>
      <c r="T48" s="15"/>
      <c r="U48" s="15"/>
    </row>
    <row r="49" spans="11:21" x14ac:dyDescent="0.2">
      <c r="K49" s="13" t="s">
        <v>50</v>
      </c>
      <c r="L49" s="17" t="s">
        <v>245</v>
      </c>
      <c r="M49" s="17">
        <v>4.5264091491699201</v>
      </c>
      <c r="N49" s="17">
        <v>4.5101995468139604</v>
      </c>
      <c r="O49" s="17">
        <v>4.63806056976318</v>
      </c>
      <c r="P49" s="17">
        <v>4.6743412017822203</v>
      </c>
      <c r="Q49" s="17">
        <v>4.6121530532836896</v>
      </c>
      <c r="R49" s="15">
        <f t="shared" si="4"/>
        <v>4.5922327041625932</v>
      </c>
      <c r="S49" s="15">
        <f t="shared" si="5"/>
        <v>7.1240785811961568E-2</v>
      </c>
      <c r="T49" s="15"/>
      <c r="U49" s="15"/>
    </row>
    <row r="50" spans="11:21" x14ac:dyDescent="0.2">
      <c r="K50" s="13" t="s">
        <v>51</v>
      </c>
      <c r="L50" s="17" t="s">
        <v>246</v>
      </c>
      <c r="M50" s="17">
        <v>2.6782796382903999</v>
      </c>
      <c r="N50" s="17">
        <v>2.6521213054656898</v>
      </c>
      <c r="O50" s="17">
        <v>2.6994042396545401</v>
      </c>
      <c r="P50" s="17">
        <v>2.6971962451934801</v>
      </c>
      <c r="Q50" s="17">
        <v>2.6743733882903999</v>
      </c>
      <c r="R50" s="15">
        <f t="shared" si="4"/>
        <v>2.6802749633789018</v>
      </c>
      <c r="S50" s="15">
        <f t="shared" si="5"/>
        <v>1.9259396107525497E-2</v>
      </c>
      <c r="T50" s="15"/>
      <c r="U50" s="15"/>
    </row>
    <row r="51" spans="11:21" x14ac:dyDescent="0.2">
      <c r="K51" s="13" t="s">
        <v>52</v>
      </c>
      <c r="L51" s="17" t="s">
        <v>139</v>
      </c>
      <c r="M51" s="17">
        <v>4.15988969802856</v>
      </c>
      <c r="N51" s="17">
        <v>3.9470920562744101</v>
      </c>
      <c r="O51" s="17">
        <v>3.9864461421966499</v>
      </c>
      <c r="P51" s="17">
        <v>3.9217009544372501</v>
      </c>
      <c r="Q51" s="17">
        <v>3.9939692020416202</v>
      </c>
      <c r="R51" s="15">
        <f t="shared" si="4"/>
        <v>4.0018196105956978</v>
      </c>
      <c r="S51" s="15">
        <f t="shared" si="5"/>
        <v>9.3137303553329581E-2</v>
      </c>
      <c r="T51" s="15"/>
      <c r="U51" s="15"/>
    </row>
    <row r="52" spans="11:21" x14ac:dyDescent="0.2">
      <c r="K52" s="13" t="s">
        <v>53</v>
      </c>
      <c r="L52" s="17" t="s">
        <v>140</v>
      </c>
      <c r="M52" s="17">
        <v>4.1746740341186497</v>
      </c>
      <c r="N52" s="17">
        <v>4.1011533737182599</v>
      </c>
      <c r="O52" s="17">
        <v>4.1012659072875897</v>
      </c>
      <c r="P52" s="17">
        <v>4.1889114379882804</v>
      </c>
      <c r="Q52" s="17">
        <v>4.1453332901000897</v>
      </c>
      <c r="R52" s="15">
        <f t="shared" si="4"/>
        <v>4.1422676086425749</v>
      </c>
      <c r="S52" s="15">
        <f t="shared" si="5"/>
        <v>4.0640932132462802E-2</v>
      </c>
      <c r="T52" s="15"/>
      <c r="U52" s="15"/>
    </row>
    <row r="53" spans="11:21" x14ac:dyDescent="0.2">
      <c r="K53" s="13" t="s">
        <v>54</v>
      </c>
      <c r="L53" s="17" t="s">
        <v>143</v>
      </c>
      <c r="M53" s="17">
        <v>3.5396320819854701</v>
      </c>
      <c r="N53" s="17">
        <v>3.66004085540771</v>
      </c>
      <c r="O53" s="17">
        <v>3.7382535934448198</v>
      </c>
      <c r="P53" s="17">
        <v>3.5054633617401101</v>
      </c>
      <c r="Q53" s="17">
        <v>3.5654823780059801</v>
      </c>
      <c r="R53" s="15">
        <f t="shared" si="4"/>
        <v>3.6017744541168177</v>
      </c>
      <c r="S53" s="15">
        <f t="shared" si="5"/>
        <v>9.5493644694874757E-2</v>
      </c>
      <c r="T53" s="15"/>
      <c r="U53" s="15"/>
    </row>
    <row r="54" spans="11:21" x14ac:dyDescent="0.2">
      <c r="K54" s="13" t="s">
        <v>55</v>
      </c>
      <c r="L54" s="17" t="s">
        <v>144</v>
      </c>
      <c r="M54" s="17"/>
      <c r="N54" s="17"/>
      <c r="O54" s="17"/>
      <c r="P54" s="17"/>
      <c r="Q54" s="17"/>
      <c r="R54" s="15" t="e">
        <f t="shared" si="4"/>
        <v>#DIV/0!</v>
      </c>
      <c r="S54" s="15" t="e">
        <f t="shared" si="5"/>
        <v>#DIV/0!</v>
      </c>
      <c r="T54" s="15"/>
      <c r="U54" s="15"/>
    </row>
    <row r="55" spans="11:21" x14ac:dyDescent="0.2">
      <c r="K55" s="13" t="s">
        <v>56</v>
      </c>
      <c r="L55" s="17" t="s">
        <v>142</v>
      </c>
      <c r="M55" s="17">
        <v>3.5357503890991202</v>
      </c>
      <c r="N55" s="17">
        <v>3.5801475048065101</v>
      </c>
      <c r="O55" s="17">
        <v>3.4904286861419598</v>
      </c>
      <c r="P55" s="17">
        <v>3.46399927139282</v>
      </c>
      <c r="Q55" s="17">
        <v>3.3488805294036799</v>
      </c>
      <c r="R55" s="15">
        <f t="shared" si="4"/>
        <v>3.4838412761688184</v>
      </c>
      <c r="S55" s="15">
        <f t="shared" si="5"/>
        <v>8.7494211195248528E-2</v>
      </c>
      <c r="T55" s="17"/>
      <c r="U55" s="15"/>
    </row>
    <row r="56" spans="11:21" x14ac:dyDescent="0.2">
      <c r="K56" s="13" t="s">
        <v>57</v>
      </c>
      <c r="L56" s="17" t="s">
        <v>143</v>
      </c>
      <c r="M56" s="17">
        <v>2.7481312751770002</v>
      </c>
      <c r="N56" s="17">
        <v>5.6191525459289497</v>
      </c>
      <c r="O56" s="17">
        <v>2.8956131935119598</v>
      </c>
      <c r="P56" s="17">
        <v>2.9245388507843</v>
      </c>
      <c r="Q56" s="17">
        <v>3.6212887763977002</v>
      </c>
      <c r="R56" s="15">
        <f t="shared" si="4"/>
        <v>3.5617449283599818</v>
      </c>
      <c r="S56" s="15">
        <f t="shared" si="5"/>
        <v>1.1987703934434997</v>
      </c>
      <c r="T56" s="15"/>
      <c r="U56" s="15"/>
    </row>
    <row r="57" spans="11:21" x14ac:dyDescent="0.2">
      <c r="K57" s="13" t="s">
        <v>58</v>
      </c>
      <c r="L57" s="17" t="s">
        <v>204</v>
      </c>
      <c r="M57" s="17"/>
      <c r="N57" s="17"/>
      <c r="O57" s="17"/>
      <c r="P57" s="17"/>
      <c r="Q57" s="17"/>
      <c r="R57" s="15" t="e">
        <f t="shared" si="4"/>
        <v>#DIV/0!</v>
      </c>
      <c r="S57" s="15" t="e">
        <f t="shared" si="5"/>
        <v>#DIV/0!</v>
      </c>
      <c r="T57" s="15"/>
      <c r="U57" s="15"/>
    </row>
    <row r="58" spans="11:21" x14ac:dyDescent="0.2">
      <c r="K58" s="13" t="s">
        <v>59</v>
      </c>
      <c r="L58" s="17" t="s">
        <v>204</v>
      </c>
      <c r="M58" s="17"/>
      <c r="N58" s="17"/>
      <c r="O58" s="17"/>
      <c r="P58" s="17"/>
      <c r="Q58" s="17"/>
      <c r="R58" s="15" t="e">
        <f t="shared" si="4"/>
        <v>#DIV/0!</v>
      </c>
      <c r="S58" s="15" t="e">
        <f t="shared" si="5"/>
        <v>#DIV/0!</v>
      </c>
      <c r="T58" s="15"/>
      <c r="U58" s="15"/>
    </row>
    <row r="59" spans="11:21" x14ac:dyDescent="0.2">
      <c r="K59" s="13" t="s">
        <v>60</v>
      </c>
      <c r="L59" s="17" t="s">
        <v>201</v>
      </c>
      <c r="M59" s="17"/>
      <c r="N59" s="17"/>
      <c r="O59" s="17"/>
      <c r="P59" s="17"/>
      <c r="Q59" s="17"/>
      <c r="R59" s="15" t="e">
        <f t="shared" si="4"/>
        <v>#DIV/0!</v>
      </c>
      <c r="S59" s="15" t="e">
        <f t="shared" si="5"/>
        <v>#DIV/0!</v>
      </c>
      <c r="T59" s="17"/>
      <c r="U59" s="15"/>
    </row>
    <row r="60" spans="11:21" x14ac:dyDescent="0.2">
      <c r="K60" s="13" t="s">
        <v>61</v>
      </c>
      <c r="L60" s="17" t="s">
        <v>204</v>
      </c>
      <c r="M60" s="17"/>
      <c r="N60" s="17"/>
      <c r="O60" s="17"/>
      <c r="P60" s="17"/>
      <c r="Q60" s="17"/>
      <c r="R60" s="15" t="e">
        <f t="shared" si="4"/>
        <v>#DIV/0!</v>
      </c>
      <c r="S60" s="15" t="e">
        <f t="shared" si="5"/>
        <v>#DIV/0!</v>
      </c>
      <c r="T60" s="15"/>
      <c r="U60" s="15"/>
    </row>
    <row r="61" spans="11:21" x14ac:dyDescent="0.2">
      <c r="K61" s="13" t="s">
        <v>62</v>
      </c>
      <c r="L61" s="17" t="s">
        <v>247</v>
      </c>
      <c r="M61" s="17"/>
      <c r="N61" s="17"/>
      <c r="O61" s="17"/>
      <c r="P61" s="17"/>
      <c r="Q61" s="17"/>
      <c r="R61" s="15" t="e">
        <f t="shared" si="4"/>
        <v>#DIV/0!</v>
      </c>
      <c r="S61" s="15" t="e">
        <f t="shared" si="5"/>
        <v>#DIV/0!</v>
      </c>
      <c r="T61" s="15"/>
      <c r="U61" s="15"/>
    </row>
    <row r="62" spans="11:21" x14ac:dyDescent="0.2">
      <c r="K62" s="13" t="s">
        <v>63</v>
      </c>
      <c r="L62" s="17" t="s">
        <v>248</v>
      </c>
      <c r="M62" s="17"/>
      <c r="N62" s="17"/>
      <c r="O62" s="17"/>
      <c r="P62" s="17"/>
      <c r="Q62" s="17"/>
      <c r="R62" s="15" t="e">
        <f t="shared" si="4"/>
        <v>#DIV/0!</v>
      </c>
      <c r="S62" s="15" t="e">
        <f t="shared" si="5"/>
        <v>#DIV/0!</v>
      </c>
      <c r="T62" s="15"/>
      <c r="U62" s="17"/>
    </row>
    <row r="63" spans="11:21" x14ac:dyDescent="0.2">
      <c r="K63" s="13" t="s">
        <v>64</v>
      </c>
      <c r="L63" s="17" t="s">
        <v>249</v>
      </c>
      <c r="M63" s="17"/>
      <c r="N63" s="17"/>
      <c r="O63" s="17"/>
      <c r="P63" s="17"/>
      <c r="Q63" s="17"/>
      <c r="R63" s="15" t="e">
        <f t="shared" si="4"/>
        <v>#DIV/0!</v>
      </c>
      <c r="S63" s="15" t="e">
        <f t="shared" si="5"/>
        <v>#DIV/0!</v>
      </c>
      <c r="T63" s="15"/>
      <c r="U63" s="15"/>
    </row>
    <row r="64" spans="11:21" x14ac:dyDescent="0.2">
      <c r="K64" s="13" t="s">
        <v>65</v>
      </c>
      <c r="L64" s="17" t="s">
        <v>250</v>
      </c>
      <c r="M64" s="17"/>
      <c r="N64" s="17"/>
      <c r="O64" s="17"/>
      <c r="P64" s="17"/>
      <c r="Q64" s="17"/>
      <c r="R64" s="15" t="e">
        <f t="shared" si="4"/>
        <v>#DIV/0!</v>
      </c>
      <c r="S64" s="15" t="e">
        <f t="shared" si="5"/>
        <v>#DIV/0!</v>
      </c>
      <c r="T64" s="15"/>
      <c r="U64" s="15"/>
    </row>
    <row r="65" spans="11:21" x14ac:dyDescent="0.2">
      <c r="K65" s="13" t="s">
        <v>66</v>
      </c>
      <c r="L65" s="17" t="s">
        <v>205</v>
      </c>
      <c r="M65" s="15"/>
      <c r="N65" s="15"/>
      <c r="O65" s="15"/>
      <c r="P65" s="15"/>
      <c r="Q65" s="15"/>
      <c r="R65" s="15" t="e">
        <f t="shared" si="4"/>
        <v>#DIV/0!</v>
      </c>
      <c r="S65" s="15" t="e">
        <f t="shared" si="5"/>
        <v>#DIV/0!</v>
      </c>
      <c r="T65" s="15"/>
      <c r="U65" s="15"/>
    </row>
    <row r="66" spans="11:21" x14ac:dyDescent="0.2">
      <c r="K66" s="13" t="s">
        <v>67</v>
      </c>
      <c r="L66" s="17" t="s">
        <v>203</v>
      </c>
      <c r="M66" s="17"/>
      <c r="N66" s="15"/>
      <c r="O66" s="15"/>
      <c r="P66" s="15"/>
      <c r="Q66" s="15"/>
      <c r="R66" s="15" t="e">
        <f t="shared" si="4"/>
        <v>#DIV/0!</v>
      </c>
      <c r="S66" s="15" t="e">
        <f t="shared" si="5"/>
        <v>#DIV/0!</v>
      </c>
      <c r="T66" s="15"/>
      <c r="U66" s="15"/>
    </row>
    <row r="67" spans="11:21" x14ac:dyDescent="0.2">
      <c r="K67" s="13" t="s">
        <v>68</v>
      </c>
      <c r="L67" s="17" t="s">
        <v>205</v>
      </c>
      <c r="M67" s="15"/>
      <c r="N67" s="15"/>
      <c r="O67" s="15"/>
      <c r="P67" s="15"/>
      <c r="Q67" s="15"/>
      <c r="R67" s="15" t="e">
        <f t="shared" si="4"/>
        <v>#DIV/0!</v>
      </c>
      <c r="S67" s="15" t="e">
        <f t="shared" si="5"/>
        <v>#DIV/0!</v>
      </c>
      <c r="T67" s="15"/>
      <c r="U67" s="15"/>
    </row>
    <row r="68" spans="11:21" x14ac:dyDescent="0.2">
      <c r="K68" s="13" t="s">
        <v>69</v>
      </c>
      <c r="L68" s="17" t="s">
        <v>209</v>
      </c>
      <c r="M68" s="15"/>
      <c r="N68" s="15"/>
      <c r="O68" s="15"/>
      <c r="P68" s="15"/>
      <c r="Q68" s="15"/>
      <c r="R68" s="15" t="e">
        <f t="shared" si="4"/>
        <v>#DIV/0!</v>
      </c>
      <c r="S68" s="15" t="e">
        <f t="shared" si="5"/>
        <v>#DIV/0!</v>
      </c>
      <c r="T68" s="15"/>
      <c r="U68" s="15"/>
    </row>
    <row r="69" spans="11:21" x14ac:dyDescent="0.2">
      <c r="K69" s="13" t="s">
        <v>70</v>
      </c>
      <c r="L69" s="17" t="s">
        <v>209</v>
      </c>
      <c r="M69" s="15"/>
      <c r="N69" s="15"/>
      <c r="O69" s="15"/>
      <c r="P69" s="15"/>
      <c r="Q69" s="15"/>
      <c r="R69" s="15" t="e">
        <f t="shared" si="4"/>
        <v>#DIV/0!</v>
      </c>
      <c r="S69" s="15" t="e">
        <f t="shared" si="5"/>
        <v>#DIV/0!</v>
      </c>
      <c r="T69" s="17"/>
      <c r="U69" s="15"/>
    </row>
    <row r="70" spans="11:21" x14ac:dyDescent="0.2">
      <c r="K70" s="13" t="s">
        <v>71</v>
      </c>
      <c r="L70" s="17" t="s">
        <v>248</v>
      </c>
      <c r="M70" s="15"/>
      <c r="N70" s="15"/>
      <c r="O70" s="15"/>
      <c r="P70" s="15"/>
      <c r="Q70" s="15"/>
      <c r="R70" s="15" t="e">
        <f t="shared" si="4"/>
        <v>#DIV/0!</v>
      </c>
      <c r="S70" s="15" t="e">
        <f t="shared" si="5"/>
        <v>#DIV/0!</v>
      </c>
      <c r="T70" s="15"/>
      <c r="U70" s="15"/>
    </row>
    <row r="71" spans="11:21" x14ac:dyDescent="0.2">
      <c r="K71" s="13" t="s">
        <v>72</v>
      </c>
      <c r="L71" s="17" t="s">
        <v>251</v>
      </c>
      <c r="M71" s="15"/>
      <c r="N71" s="15"/>
      <c r="O71" s="15"/>
      <c r="P71" s="15"/>
      <c r="Q71" s="15"/>
      <c r="R71" s="15" t="e">
        <f t="shared" si="4"/>
        <v>#DIV/0!</v>
      </c>
      <c r="S71" s="15" t="e">
        <f t="shared" si="5"/>
        <v>#DIV/0!</v>
      </c>
      <c r="T71" s="15"/>
      <c r="U71" s="15"/>
    </row>
    <row r="72" spans="11:21" x14ac:dyDescent="0.2">
      <c r="K72" s="13" t="s">
        <v>73</v>
      </c>
      <c r="L72" s="17" t="s">
        <v>209</v>
      </c>
      <c r="M72" s="15"/>
      <c r="N72" s="15"/>
      <c r="O72" s="15"/>
      <c r="P72" s="15"/>
      <c r="Q72" s="15"/>
      <c r="R72" s="15" t="e">
        <f t="shared" si="4"/>
        <v>#DIV/0!</v>
      </c>
      <c r="S72" s="15" t="e">
        <f t="shared" si="5"/>
        <v>#DIV/0!</v>
      </c>
      <c r="T72" s="15"/>
      <c r="U72" s="15"/>
    </row>
    <row r="73" spans="11:21" x14ac:dyDescent="0.2">
      <c r="K73" s="13" t="s">
        <v>74</v>
      </c>
      <c r="L73" s="17" t="s">
        <v>247</v>
      </c>
      <c r="M73" s="15"/>
      <c r="N73" s="15"/>
      <c r="O73" s="15"/>
      <c r="P73" s="15"/>
      <c r="Q73" s="15"/>
      <c r="R73" s="15" t="e">
        <f t="shared" si="4"/>
        <v>#DIV/0!</v>
      </c>
      <c r="S73" s="15" t="e">
        <f t="shared" si="5"/>
        <v>#DIV/0!</v>
      </c>
      <c r="T73" s="15"/>
      <c r="U73" s="15"/>
    </row>
    <row r="74" spans="11:21" x14ac:dyDescent="0.2">
      <c r="K74" s="13" t="s">
        <v>75</v>
      </c>
      <c r="L74" s="17" t="s">
        <v>207</v>
      </c>
      <c r="M74" s="15"/>
      <c r="N74" s="15"/>
      <c r="O74" s="15"/>
      <c r="P74" s="15"/>
      <c r="Q74" s="15"/>
      <c r="R74" s="15" t="e">
        <f t="shared" si="4"/>
        <v>#DIV/0!</v>
      </c>
      <c r="S74" s="15" t="e">
        <f t="shared" si="5"/>
        <v>#DIV/0!</v>
      </c>
      <c r="T74" s="15"/>
      <c r="U74" s="15"/>
    </row>
    <row r="75" spans="11:21" x14ac:dyDescent="0.2">
      <c r="K75" s="13" t="s">
        <v>76</v>
      </c>
      <c r="L75" s="17" t="s">
        <v>251</v>
      </c>
      <c r="M75" s="15"/>
      <c r="N75" s="15"/>
      <c r="O75" s="15"/>
      <c r="P75" s="15"/>
      <c r="Q75" s="15"/>
      <c r="R75" s="15" t="e">
        <f t="shared" si="4"/>
        <v>#DIV/0!</v>
      </c>
      <c r="S75" s="15" t="e">
        <f t="shared" si="5"/>
        <v>#DIV/0!</v>
      </c>
      <c r="T75" s="15"/>
      <c r="U75" s="15"/>
    </row>
    <row r="76" spans="11:21" x14ac:dyDescent="0.2">
      <c r="K76" s="13" t="s">
        <v>77</v>
      </c>
      <c r="L76" s="17" t="s">
        <v>209</v>
      </c>
      <c r="M76" s="15"/>
      <c r="N76" s="15"/>
      <c r="O76" s="15"/>
      <c r="P76" s="15"/>
      <c r="Q76" s="15"/>
      <c r="R76" s="15" t="e">
        <f t="shared" si="4"/>
        <v>#DIV/0!</v>
      </c>
      <c r="S76" s="15" t="e">
        <f t="shared" si="5"/>
        <v>#DIV/0!</v>
      </c>
      <c r="T76" s="15"/>
      <c r="U76" s="15"/>
    </row>
    <row r="77" spans="11:21" x14ac:dyDescent="0.2">
      <c r="K77" s="13" t="s">
        <v>78</v>
      </c>
      <c r="L77" s="17" t="s">
        <v>206</v>
      </c>
      <c r="M77" s="15"/>
      <c r="N77" s="15"/>
      <c r="O77" s="15"/>
      <c r="P77" s="15"/>
      <c r="Q77" s="15"/>
      <c r="R77" s="15" t="e">
        <f t="shared" si="4"/>
        <v>#DIV/0!</v>
      </c>
      <c r="S77" s="15" t="e">
        <f t="shared" si="5"/>
        <v>#DIV/0!</v>
      </c>
      <c r="T77" s="15"/>
      <c r="U77" s="15"/>
    </row>
    <row r="78" spans="11:21" x14ac:dyDescent="0.2">
      <c r="K78" s="13" t="s">
        <v>79</v>
      </c>
      <c r="L78" s="17" t="s">
        <v>207</v>
      </c>
      <c r="M78" s="15"/>
      <c r="N78" s="15"/>
      <c r="O78" s="15"/>
      <c r="P78" s="15"/>
      <c r="Q78" s="15"/>
      <c r="R78" s="15" t="e">
        <f t="shared" si="4"/>
        <v>#DIV/0!</v>
      </c>
      <c r="S78" s="15" t="e">
        <f t="shared" si="5"/>
        <v>#DIV/0!</v>
      </c>
      <c r="T78" s="15"/>
      <c r="U78" s="15"/>
    </row>
    <row r="79" spans="11:21" x14ac:dyDescent="0.2">
      <c r="K79" s="13" t="s">
        <v>80</v>
      </c>
      <c r="L79" s="17" t="s">
        <v>207</v>
      </c>
      <c r="M79" s="15"/>
      <c r="N79" s="15"/>
      <c r="O79" s="15"/>
      <c r="P79" s="15"/>
      <c r="Q79" s="15"/>
      <c r="R79" s="15" t="e">
        <f t="shared" si="4"/>
        <v>#DIV/0!</v>
      </c>
      <c r="S79" s="15" t="e">
        <f t="shared" si="5"/>
        <v>#DIV/0!</v>
      </c>
      <c r="T79" s="15"/>
      <c r="U79" s="15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AD1DC-1905-6D47-93EA-0CF7401226BA}">
  <dimension ref="B2:Y80"/>
  <sheetViews>
    <sheetView topLeftCell="O6" workbookViewId="0">
      <selection activeCell="W15" sqref="W15:Y36"/>
    </sheetView>
  </sheetViews>
  <sheetFormatPr baseColWidth="10" defaultRowHeight="16" x14ac:dyDescent="0.2"/>
  <cols>
    <col min="1" max="1" width="10.83203125" style="20"/>
    <col min="2" max="2" width="11" style="20" customWidth="1"/>
    <col min="3" max="11" width="10.83203125" style="20"/>
    <col min="12" max="12" width="17" style="20" customWidth="1"/>
    <col min="13" max="16384" width="10.83203125" style="20"/>
  </cols>
  <sheetData>
    <row r="2" spans="2:25" x14ac:dyDescent="0.2">
      <c r="B2" s="18" t="s">
        <v>14</v>
      </c>
      <c r="C2" s="19"/>
      <c r="D2" s="19"/>
      <c r="E2" s="19"/>
      <c r="F2" s="19"/>
      <c r="G2" s="19"/>
      <c r="H2" s="19"/>
      <c r="I2" s="19"/>
      <c r="K2" s="21" t="s">
        <v>15</v>
      </c>
      <c r="L2" s="22"/>
      <c r="M2" s="22"/>
      <c r="N2" s="22"/>
      <c r="O2" s="22"/>
      <c r="P2" s="22"/>
      <c r="Q2" s="22"/>
      <c r="R2" s="22"/>
    </row>
    <row r="3" spans="2:25" x14ac:dyDescent="0.2">
      <c r="B3" s="18" t="s">
        <v>5</v>
      </c>
      <c r="C3" s="18" t="s">
        <v>6</v>
      </c>
      <c r="D3" s="18" t="s">
        <v>7</v>
      </c>
      <c r="E3" s="18" t="s">
        <v>8</v>
      </c>
      <c r="F3" s="18" t="s">
        <v>9</v>
      </c>
      <c r="G3" s="18" t="s">
        <v>10</v>
      </c>
      <c r="H3" s="19"/>
      <c r="I3" s="19"/>
      <c r="K3" s="21" t="s">
        <v>5</v>
      </c>
      <c r="L3" s="21" t="s">
        <v>6</v>
      </c>
      <c r="M3" s="21" t="s">
        <v>7</v>
      </c>
      <c r="N3" s="21" t="s">
        <v>8</v>
      </c>
      <c r="O3" s="21" t="s">
        <v>9</v>
      </c>
      <c r="P3" s="21" t="s">
        <v>10</v>
      </c>
      <c r="Q3" s="24"/>
      <c r="R3" s="22"/>
    </row>
    <row r="4" spans="2:25" x14ac:dyDescent="0.2">
      <c r="B4" s="18" t="s">
        <v>0</v>
      </c>
      <c r="C4" s="23">
        <v>0.518110871315002</v>
      </c>
      <c r="D4" s="23">
        <v>0.48968574404716397</v>
      </c>
      <c r="E4" s="23">
        <v>0.53364211320876997</v>
      </c>
      <c r="F4" s="23">
        <v>0.56162130832672097</v>
      </c>
      <c r="G4" s="23">
        <v>0.52475678920745805</v>
      </c>
      <c r="H4" s="23"/>
      <c r="I4" s="19"/>
      <c r="K4" s="21" t="s">
        <v>0</v>
      </c>
      <c r="L4" s="24">
        <v>0.64510142803192105</v>
      </c>
      <c r="M4" s="24">
        <v>0.65117889642715399</v>
      </c>
      <c r="N4" s="24">
        <v>0.61527115106582597</v>
      </c>
      <c r="O4" s="24">
        <v>0.64981460571288996</v>
      </c>
      <c r="P4" s="24">
        <v>0.61433482170104903</v>
      </c>
      <c r="Q4" s="22"/>
      <c r="R4" s="24"/>
    </row>
    <row r="5" spans="2:25" x14ac:dyDescent="0.2">
      <c r="B5" s="18" t="s">
        <v>1</v>
      </c>
      <c r="C5" s="23">
        <v>0.52555310726165705</v>
      </c>
      <c r="D5" s="23">
        <v>0.52752798795699996</v>
      </c>
      <c r="E5" s="23">
        <v>0.53698968887329102</v>
      </c>
      <c r="F5" s="23">
        <v>0.553774714469909</v>
      </c>
      <c r="G5" s="23">
        <v>0.55683106184005704</v>
      </c>
      <c r="H5" s="19"/>
      <c r="I5" s="19"/>
      <c r="K5" s="21" t="s">
        <v>1</v>
      </c>
      <c r="L5" s="24">
        <v>0.62312579154968195</v>
      </c>
      <c r="M5" s="24">
        <v>0.66992413997650102</v>
      </c>
      <c r="N5" s="24">
        <v>0.63241660594940097</v>
      </c>
      <c r="O5" s="24">
        <v>0.63619327545166005</v>
      </c>
      <c r="P5" s="24">
        <v>0.63868874311447099</v>
      </c>
      <c r="Q5" s="22"/>
      <c r="R5" s="22"/>
    </row>
    <row r="6" spans="2:25" x14ac:dyDescent="0.2">
      <c r="B6" s="18" t="s">
        <v>2</v>
      </c>
      <c r="C6" s="23">
        <v>0.51260638236999501</v>
      </c>
      <c r="D6" s="23">
        <v>0.51422524452209395</v>
      </c>
      <c r="E6" s="23">
        <v>0.53038740158080999</v>
      </c>
      <c r="F6" s="23">
        <v>0.58950763940811102</v>
      </c>
      <c r="G6" s="23">
        <v>0.52962493896484297</v>
      </c>
      <c r="H6" s="19"/>
      <c r="I6" s="19"/>
      <c r="K6" s="21" t="s">
        <v>2</v>
      </c>
      <c r="L6" s="24">
        <v>0.62806308269500699</v>
      </c>
      <c r="M6" s="24">
        <v>0.63294190168380704</v>
      </c>
      <c r="N6" s="24">
        <v>0.63250160217285101</v>
      </c>
      <c r="O6" s="24">
        <v>0.61683279275894098</v>
      </c>
      <c r="P6" s="24">
        <v>0.63537085056304898</v>
      </c>
      <c r="Q6" s="22"/>
      <c r="R6" s="22"/>
    </row>
    <row r="7" spans="2:25" x14ac:dyDescent="0.2">
      <c r="B7" s="18" t="s">
        <v>3</v>
      </c>
      <c r="C7" s="23">
        <v>0.51690655946731501</v>
      </c>
      <c r="D7" s="23">
        <v>0.49953728914260798</v>
      </c>
      <c r="E7" s="23">
        <v>0.53860539197921697</v>
      </c>
      <c r="F7" s="23">
        <v>0.53608751296997004</v>
      </c>
      <c r="G7" s="23">
        <v>0.53072351217269897</v>
      </c>
      <c r="H7" s="19"/>
      <c r="I7" s="19"/>
      <c r="K7" s="21" t="s">
        <v>3</v>
      </c>
      <c r="L7" s="24">
        <v>0.62119621038436801</v>
      </c>
      <c r="M7" s="24">
        <v>0.63462185859680098</v>
      </c>
      <c r="N7" s="24">
        <v>0.63853299617767301</v>
      </c>
      <c r="O7" s="24">
        <v>0.63114601373672397</v>
      </c>
      <c r="P7" s="24">
        <v>0.63525730371475198</v>
      </c>
      <c r="Q7" s="22"/>
      <c r="R7" s="22"/>
    </row>
    <row r="8" spans="2:25" x14ac:dyDescent="0.2">
      <c r="B8" s="18" t="s">
        <v>4</v>
      </c>
      <c r="C8" s="23">
        <v>0.51819020509719804</v>
      </c>
      <c r="D8" s="23">
        <v>0.50409346818923895</v>
      </c>
      <c r="E8" s="23">
        <v>0.54386025667190496</v>
      </c>
      <c r="F8" s="23">
        <v>0.54018580913543701</v>
      </c>
      <c r="G8" s="23">
        <v>0.52345043420791604</v>
      </c>
      <c r="H8" s="19"/>
      <c r="I8" s="19"/>
      <c r="K8" s="21" t="s">
        <v>4</v>
      </c>
      <c r="L8" s="24">
        <v>0.61305308341979903</v>
      </c>
      <c r="M8" s="24">
        <v>0.62989050149917603</v>
      </c>
      <c r="N8" s="24">
        <v>0.62667876482009799</v>
      </c>
      <c r="O8" s="24">
        <v>0.674826860427856</v>
      </c>
      <c r="P8" s="24">
        <v>0.63800382614135698</v>
      </c>
      <c r="Q8" s="22"/>
      <c r="R8" s="22"/>
    </row>
    <row r="9" spans="2:25" x14ac:dyDescent="0.2">
      <c r="B9" s="18" t="s">
        <v>11</v>
      </c>
      <c r="C9" s="19">
        <f>AVERAGE(C4:C8)</f>
        <v>0.5182734251022334</v>
      </c>
      <c r="D9" s="19">
        <f>AVERAGE(D4:D8)</f>
        <v>0.50701394677162093</v>
      </c>
      <c r="E9" s="19">
        <f t="shared" ref="E9:G9" si="0">AVERAGE(E4:E8)</f>
        <v>0.53669697046279863</v>
      </c>
      <c r="F9" s="19">
        <f>AVERAGE(F4:F8)</f>
        <v>0.55623539686202972</v>
      </c>
      <c r="G9" s="19">
        <f t="shared" si="0"/>
        <v>0.53307734727859457</v>
      </c>
      <c r="H9" s="18" t="s">
        <v>13</v>
      </c>
      <c r="I9" s="18">
        <f>AVERAGE(C4:G8)</f>
        <v>0.53025941729545556</v>
      </c>
      <c r="K9" s="21" t="s">
        <v>11</v>
      </c>
      <c r="L9" s="22">
        <f>AVERAGE(L4:L8)</f>
        <v>0.62610791921615538</v>
      </c>
      <c r="M9" s="22">
        <f t="shared" ref="M9:P9" si="1">AVERAGE(M4:M8)</f>
        <v>0.64371145963668774</v>
      </c>
      <c r="N9" s="22">
        <f t="shared" si="1"/>
        <v>0.62908022403716979</v>
      </c>
      <c r="O9" s="22">
        <f t="shared" si="1"/>
        <v>0.64176270961761417</v>
      </c>
      <c r="P9" s="22">
        <f t="shared" si="1"/>
        <v>0.63233110904693557</v>
      </c>
      <c r="Q9" s="21" t="s">
        <v>13</v>
      </c>
      <c r="R9" s="21">
        <f>AVERAGE(L4:P8)</f>
        <v>0.63459868431091282</v>
      </c>
    </row>
    <row r="10" spans="2:25" x14ac:dyDescent="0.2">
      <c r="B10" s="18" t="s">
        <v>12</v>
      </c>
      <c r="C10" s="19">
        <f>STDEV(C4:C8)</f>
        <v>4.6639794338673166E-3</v>
      </c>
      <c r="D10" s="19">
        <f>STDEV(D4:D8)</f>
        <v>1.4470011360680674E-2</v>
      </c>
      <c r="E10" s="19">
        <f t="shared" ref="E10:G10" si="2">STDEV(E4:E8)</f>
        <v>5.1035095371908907E-3</v>
      </c>
      <c r="F10" s="19">
        <f>STDEV(F4:F8)</f>
        <v>2.1246362133946373E-2</v>
      </c>
      <c r="G10" s="19">
        <f t="shared" si="2"/>
        <v>1.3634586171054093E-2</v>
      </c>
      <c r="H10" s="18" t="s">
        <v>12</v>
      </c>
      <c r="I10" s="18">
        <f>STDEV(C4:G8)</f>
        <v>2.1034405905162673E-2</v>
      </c>
      <c r="K10" s="21" t="s">
        <v>12</v>
      </c>
      <c r="L10" s="22">
        <f>STDEV(L4:L8)</f>
        <v>1.1916613907700825E-2</v>
      </c>
      <c r="M10" s="22">
        <f t="shared" ref="M10:P10" si="3">STDEV(M4:M8)</f>
        <v>1.6826246849939979E-2</v>
      </c>
      <c r="N10" s="22">
        <f t="shared" si="3"/>
        <v>8.7842142000723669E-3</v>
      </c>
      <c r="O10" s="22">
        <f t="shared" si="3"/>
        <v>2.1927748872536477E-2</v>
      </c>
      <c r="P10" s="22">
        <f t="shared" si="3"/>
        <v>1.0176790163461225E-2</v>
      </c>
      <c r="Q10" s="21" t="s">
        <v>12</v>
      </c>
      <c r="R10" s="21">
        <f>STDEV(L4:P8)</f>
        <v>1.5216503241212055E-2</v>
      </c>
    </row>
    <row r="11" spans="2:25" x14ac:dyDescent="0.2">
      <c r="B11" s="19"/>
      <c r="C11" s="19"/>
      <c r="D11" s="19"/>
      <c r="E11" s="19"/>
      <c r="F11" s="19"/>
      <c r="G11" s="19"/>
      <c r="H11" s="19"/>
      <c r="I11" s="19"/>
      <c r="K11" s="22"/>
      <c r="L11" s="22"/>
      <c r="M11" s="22"/>
      <c r="N11" s="22"/>
      <c r="O11" s="22"/>
      <c r="P11" s="22"/>
      <c r="Q11" s="22"/>
      <c r="R11" s="22"/>
    </row>
    <row r="15" spans="2:25" x14ac:dyDescent="0.2">
      <c r="B15" s="25" t="s">
        <v>16</v>
      </c>
      <c r="C15" s="26"/>
      <c r="D15" s="26"/>
      <c r="E15" s="26"/>
      <c r="F15" s="26"/>
      <c r="G15" s="26"/>
      <c r="H15" s="26"/>
      <c r="I15" s="26"/>
      <c r="K15" s="13" t="s">
        <v>17</v>
      </c>
      <c r="L15" s="13"/>
      <c r="M15" s="15"/>
      <c r="N15" s="15"/>
      <c r="O15" s="15"/>
      <c r="P15" s="15"/>
      <c r="Q15" s="15"/>
      <c r="R15" s="15"/>
      <c r="S15" s="15"/>
      <c r="T15" s="15"/>
      <c r="U15" s="15"/>
      <c r="W15" s="20" t="s">
        <v>291</v>
      </c>
      <c r="X15" s="20" t="s">
        <v>5</v>
      </c>
      <c r="Y15" s="20" t="s">
        <v>12</v>
      </c>
    </row>
    <row r="16" spans="2:25" x14ac:dyDescent="0.2">
      <c r="B16" s="25" t="s">
        <v>5</v>
      </c>
      <c r="C16" s="25" t="s">
        <v>6</v>
      </c>
      <c r="D16" s="25" t="s">
        <v>7</v>
      </c>
      <c r="E16" s="25" t="s">
        <v>8</v>
      </c>
      <c r="F16" s="25" t="s">
        <v>9</v>
      </c>
      <c r="G16" s="25" t="s">
        <v>10</v>
      </c>
      <c r="H16" s="26"/>
      <c r="I16" s="26"/>
      <c r="K16" s="13" t="s">
        <v>5</v>
      </c>
      <c r="L16" s="13" t="s">
        <v>83</v>
      </c>
      <c r="M16" s="13" t="s">
        <v>0</v>
      </c>
      <c r="N16" s="13" t="s">
        <v>1</v>
      </c>
      <c r="O16" s="13" t="s">
        <v>2</v>
      </c>
      <c r="P16" s="13" t="s">
        <v>3</v>
      </c>
      <c r="Q16" s="13" t="s">
        <v>4</v>
      </c>
      <c r="R16" s="13" t="s">
        <v>11</v>
      </c>
      <c r="S16" s="13" t="s">
        <v>12</v>
      </c>
      <c r="T16" s="15"/>
      <c r="U16" s="15"/>
      <c r="W16" s="20">
        <v>0</v>
      </c>
      <c r="X16" s="20">
        <f>AVERAGE(R17:R19)</f>
        <v>0.5358576854070024</v>
      </c>
      <c r="Y16" s="20">
        <f>AVERAGE(S17:S19)</f>
        <v>1.3386630220801407E-2</v>
      </c>
    </row>
    <row r="17" spans="2:25" x14ac:dyDescent="0.2">
      <c r="B17" s="25" t="s">
        <v>0</v>
      </c>
      <c r="C17" s="27">
        <v>0.575783491134643</v>
      </c>
      <c r="D17" s="27">
        <v>0.61471581459045399</v>
      </c>
      <c r="E17" s="27">
        <v>0.57824528217315596</v>
      </c>
      <c r="F17" s="27">
        <v>0.77982193231582597</v>
      </c>
      <c r="G17" s="27">
        <v>0.71199887990951505</v>
      </c>
      <c r="H17" s="27"/>
      <c r="I17" s="27"/>
      <c r="K17" s="13" t="s">
        <v>18</v>
      </c>
      <c r="L17" s="9" t="s">
        <v>358</v>
      </c>
      <c r="M17" s="9">
        <v>0.57493501901626498</v>
      </c>
      <c r="N17" s="9">
        <v>0.58695197105407704</v>
      </c>
      <c r="O17" s="9">
        <v>0.60920077562332098</v>
      </c>
      <c r="P17" s="9">
        <v>0.60900896787643399</v>
      </c>
      <c r="Q17" s="9">
        <v>0.574770867824554</v>
      </c>
      <c r="R17" s="15">
        <f>AVERAGE(M17:Q17)</f>
        <v>0.59097352027893024</v>
      </c>
      <c r="S17" s="15">
        <f>STDEV(M17:Q17)</f>
        <v>1.7273118818771999E-2</v>
      </c>
      <c r="T17" s="9" t="s">
        <v>357</v>
      </c>
      <c r="U17" s="17"/>
      <c r="W17" s="20">
        <v>0.05</v>
      </c>
      <c r="X17" s="20">
        <f>AVERAGE(R20:R22)</f>
        <v>0.75045407215754134</v>
      </c>
      <c r="Y17" s="20">
        <f>AVERAGE(S20:S22)</f>
        <v>2.6172184132647564E-2</v>
      </c>
    </row>
    <row r="18" spans="2:25" x14ac:dyDescent="0.2">
      <c r="B18" s="25" t="s">
        <v>1</v>
      </c>
      <c r="C18" s="27">
        <v>0.58295726776123002</v>
      </c>
      <c r="D18" s="27">
        <v>0.65104728937149003</v>
      </c>
      <c r="E18" s="27">
        <v>0.565759778022766</v>
      </c>
      <c r="F18" s="27">
        <v>0.84776508808135898</v>
      </c>
      <c r="G18" s="27">
        <v>0.68326765298843295</v>
      </c>
      <c r="H18" s="26"/>
      <c r="I18" s="26"/>
      <c r="K18" s="13" t="s">
        <v>19</v>
      </c>
      <c r="L18" s="9" t="s">
        <v>358</v>
      </c>
      <c r="M18" s="9">
        <v>0.54115855693817105</v>
      </c>
      <c r="N18" s="9">
        <v>0.55329036712646396</v>
      </c>
      <c r="O18" s="9">
        <v>0.54053729772567705</v>
      </c>
      <c r="P18" s="9">
        <v>0.54753065109252896</v>
      </c>
      <c r="Q18" s="9">
        <v>0.53090834617614702</v>
      </c>
      <c r="R18" s="15">
        <f t="shared" ref="R18:R79" si="4">AVERAGE(M18:Q18)</f>
        <v>0.54268504381179761</v>
      </c>
      <c r="S18" s="15">
        <f t="shared" ref="S18:S79" si="5">STDEV(M18:Q18)</f>
        <v>8.3902678019688506E-3</v>
      </c>
      <c r="T18" s="15"/>
      <c r="U18" s="15"/>
      <c r="W18" s="20">
        <v>0.1</v>
      </c>
      <c r="X18" s="20">
        <f>AVERAGE(R23:R25)</f>
        <v>0.78161043723424228</v>
      </c>
      <c r="Y18" s="20">
        <f>AVERAGE(S23:S25)</f>
        <v>4.3339303826398883E-2</v>
      </c>
    </row>
    <row r="19" spans="2:25" x14ac:dyDescent="0.2">
      <c r="B19" s="25" t="s">
        <v>2</v>
      </c>
      <c r="C19" s="27">
        <v>0.57952123880386297</v>
      </c>
      <c r="D19" s="27">
        <v>0.62715178728103604</v>
      </c>
      <c r="E19" s="27">
        <v>0.5554780960083</v>
      </c>
      <c r="F19" s="27">
        <v>0.83376091718673695</v>
      </c>
      <c r="G19" s="27">
        <v>0.71679031848907404</v>
      </c>
      <c r="H19" s="26"/>
      <c r="I19" s="26"/>
      <c r="K19" s="13" t="s">
        <v>20</v>
      </c>
      <c r="L19" s="9" t="s">
        <v>358</v>
      </c>
      <c r="M19" s="9">
        <v>0.49720463156700101</v>
      </c>
      <c r="N19" s="9">
        <v>0.46302145719528198</v>
      </c>
      <c r="O19" s="9">
        <v>0.47889477014541598</v>
      </c>
      <c r="P19" s="9">
        <v>0.466588854789733</v>
      </c>
      <c r="Q19" s="9">
        <v>0.46386274695396401</v>
      </c>
      <c r="R19" s="15">
        <f t="shared" si="4"/>
        <v>0.4739144921302792</v>
      </c>
      <c r="S19" s="15">
        <f t="shared" si="5"/>
        <v>1.4496504041663368E-2</v>
      </c>
      <c r="T19" s="15"/>
      <c r="U19" s="15"/>
      <c r="W19" s="20">
        <v>0.15</v>
      </c>
      <c r="X19" s="20">
        <f>AVERAGE(R26:R28)</f>
        <v>1.0509576320648146</v>
      </c>
      <c r="Y19" s="20">
        <f>AVERAGE(S26:S28)</f>
        <v>5.6262906782614662E-2</v>
      </c>
    </row>
    <row r="20" spans="2:25" x14ac:dyDescent="0.2">
      <c r="B20" s="25" t="s">
        <v>3</v>
      </c>
      <c r="C20" s="27">
        <v>0.53798776865005404</v>
      </c>
      <c r="D20" s="27">
        <v>0.62772125005722001</v>
      </c>
      <c r="E20" s="27">
        <v>0.56025129556655795</v>
      </c>
      <c r="F20" s="27">
        <v>0.94355291128158503</v>
      </c>
      <c r="G20" s="27">
        <v>0.698799848556518</v>
      </c>
      <c r="H20" s="26"/>
      <c r="I20" s="26"/>
      <c r="K20" s="13" t="s">
        <v>21</v>
      </c>
      <c r="L20" s="9" t="s">
        <v>359</v>
      </c>
      <c r="M20" s="9">
        <v>0.72074770927429199</v>
      </c>
      <c r="N20" s="9">
        <v>0.72546356916427601</v>
      </c>
      <c r="O20" s="9">
        <v>0.71210503578186002</v>
      </c>
      <c r="P20" s="9">
        <v>0.72891765832901001</v>
      </c>
      <c r="Q20" s="9">
        <v>0.74847894906997603</v>
      </c>
      <c r="R20" s="15">
        <f t="shared" si="4"/>
        <v>0.72714258432388279</v>
      </c>
      <c r="S20" s="15">
        <f t="shared" si="5"/>
        <v>1.3492893808054744E-2</v>
      </c>
      <c r="T20" s="15"/>
      <c r="U20" s="15"/>
      <c r="W20" s="20">
        <v>0.2</v>
      </c>
      <c r="X20" s="20">
        <f>AVERAGE(R29:R31)</f>
        <v>1.1915575186411489</v>
      </c>
      <c r="Y20" s="20">
        <f>AVERAGE(S29:S31)</f>
        <v>3.6985343224092811E-2</v>
      </c>
    </row>
    <row r="21" spans="2:25" x14ac:dyDescent="0.2">
      <c r="B21" s="25" t="s">
        <v>4</v>
      </c>
      <c r="C21" s="27">
        <v>0.58551776409149103</v>
      </c>
      <c r="D21" s="27">
        <v>0.63485080003738403</v>
      </c>
      <c r="E21" s="27">
        <v>0.56757348775863603</v>
      </c>
      <c r="F21" s="27">
        <v>0.840684413909912</v>
      </c>
      <c r="G21" s="27">
        <v>0.718921899795532</v>
      </c>
      <c r="H21" s="26"/>
      <c r="I21" s="26"/>
      <c r="K21" s="13" t="s">
        <v>22</v>
      </c>
      <c r="L21" s="9" t="s">
        <v>360</v>
      </c>
      <c r="M21" s="9">
        <v>0.65783858299255304</v>
      </c>
      <c r="N21" s="9">
        <v>0.70523321628570501</v>
      </c>
      <c r="O21" s="9">
        <v>0.70409339666366499</v>
      </c>
      <c r="P21" s="9">
        <v>0.74449837207794101</v>
      </c>
      <c r="Q21" s="9">
        <v>0.71096998453140203</v>
      </c>
      <c r="R21" s="15">
        <f t="shared" si="4"/>
        <v>0.70452671051025317</v>
      </c>
      <c r="S21" s="15">
        <f t="shared" si="5"/>
        <v>3.0901932265648066E-2</v>
      </c>
      <c r="T21" s="15"/>
      <c r="U21" s="15"/>
      <c r="W21" s="20">
        <v>0.25</v>
      </c>
      <c r="X21" s="20">
        <f>AVERAGE(R32:R34)</f>
        <v>1.2916208823521893</v>
      </c>
      <c r="Y21" s="20">
        <f>AVERAGE(S32:S34)</f>
        <v>4.9390572479805529E-2</v>
      </c>
    </row>
    <row r="22" spans="2:25" x14ac:dyDescent="0.2">
      <c r="B22" s="25" t="s">
        <v>11</v>
      </c>
      <c r="C22" s="26">
        <f>AVERAGE(C17:C21)</f>
        <v>0.5723535060882563</v>
      </c>
      <c r="D22" s="26">
        <f t="shared" ref="D22:G22" si="6">AVERAGE(D17:D21)</f>
        <v>0.63109738826751682</v>
      </c>
      <c r="E22" s="26">
        <f t="shared" si="6"/>
        <v>0.56546158790588319</v>
      </c>
      <c r="F22" s="26">
        <f>AVERAGE(F17:F21)</f>
        <v>0.84911705255508385</v>
      </c>
      <c r="G22" s="26">
        <f t="shared" si="6"/>
        <v>0.70595571994781436</v>
      </c>
      <c r="H22" s="25" t="s">
        <v>13</v>
      </c>
      <c r="I22" s="25">
        <f>AVERAGE(C17:G21)</f>
        <v>0.66479705095291108</v>
      </c>
      <c r="K22" s="13" t="s">
        <v>23</v>
      </c>
      <c r="L22" s="9" t="s">
        <v>361</v>
      </c>
      <c r="M22" s="9">
        <v>0.79352051019668501</v>
      </c>
      <c r="N22" s="9">
        <v>0.81146615743636996</v>
      </c>
      <c r="O22" s="9">
        <v>0.86894130706787098</v>
      </c>
      <c r="P22" s="9">
        <v>0.83842974901199296</v>
      </c>
      <c r="Q22" s="9">
        <v>0.78610688447952204</v>
      </c>
      <c r="R22" s="15">
        <f t="shared" si="4"/>
        <v>0.81969292163848828</v>
      </c>
      <c r="S22" s="15">
        <f t="shared" si="5"/>
        <v>3.4121726324239883E-2</v>
      </c>
      <c r="T22" s="15"/>
      <c r="U22" s="15"/>
      <c r="W22" s="20">
        <v>0.3</v>
      </c>
      <c r="X22" s="20">
        <f>AVERAGE(R35:R37)</f>
        <v>1.2284880797068223</v>
      </c>
      <c r="Y22" s="20">
        <f>AVERAGE(S35:S37)</f>
        <v>6.6624471053805423E-2</v>
      </c>
    </row>
    <row r="23" spans="2:25" x14ac:dyDescent="0.2">
      <c r="B23" s="25" t="s">
        <v>12</v>
      </c>
      <c r="C23" s="26">
        <f>STDEV(C17:C21)</f>
        <v>1.9556856532717794E-2</v>
      </c>
      <c r="D23" s="26">
        <f t="shared" ref="D23:G23" si="7">STDEV(D17:D21)</f>
        <v>1.3298577804309295E-2</v>
      </c>
      <c r="E23" s="26">
        <f t="shared" si="7"/>
        <v>8.5847121993592075E-3</v>
      </c>
      <c r="F23" s="26">
        <f>STDEV(F17:F21)</f>
        <v>5.9221392246159979E-2</v>
      </c>
      <c r="G23" s="26">
        <f t="shared" si="7"/>
        <v>1.4899538629085768E-2</v>
      </c>
      <c r="H23" s="25" t="s">
        <v>12</v>
      </c>
      <c r="I23" s="25">
        <f>STDEV(C17:G21)</f>
        <v>0.11059183703479471</v>
      </c>
      <c r="K23" s="13" t="s">
        <v>24</v>
      </c>
      <c r="L23" s="9" t="s">
        <v>362</v>
      </c>
      <c r="M23" s="9">
        <v>0.77000313997268599</v>
      </c>
      <c r="N23" s="9">
        <v>0.73301053047180098</v>
      </c>
      <c r="O23" s="9">
        <v>0.700605988502502</v>
      </c>
      <c r="P23" s="9">
        <v>0.71441262960433904</v>
      </c>
      <c r="Q23" s="9">
        <v>0.77711290121078402</v>
      </c>
      <c r="R23" s="15">
        <f t="shared" si="4"/>
        <v>0.73902903795242247</v>
      </c>
      <c r="S23" s="15">
        <f t="shared" si="5"/>
        <v>3.3646308705146975E-2</v>
      </c>
      <c r="T23" s="15"/>
      <c r="U23" s="15"/>
      <c r="W23" s="20">
        <v>0.35</v>
      </c>
      <c r="X23" s="20">
        <f>AVERAGE(R38:R40)</f>
        <v>1.4301743030548046</v>
      </c>
      <c r="Y23" s="20">
        <f>AVERAGE(S38:S40)</f>
        <v>6.9853046328606436E-2</v>
      </c>
    </row>
    <row r="24" spans="2:25" x14ac:dyDescent="0.2">
      <c r="B24" s="26"/>
      <c r="C24" s="26"/>
      <c r="D24" s="26"/>
      <c r="E24" s="26"/>
      <c r="F24" s="26"/>
      <c r="G24" s="26"/>
      <c r="H24" s="26"/>
      <c r="I24" s="26"/>
      <c r="K24" s="13" t="s">
        <v>25</v>
      </c>
      <c r="L24" s="9" t="s">
        <v>363</v>
      </c>
      <c r="M24" s="9">
        <v>0.80731952190399103</v>
      </c>
      <c r="N24" s="9">
        <v>0.75871324539184504</v>
      </c>
      <c r="O24" s="9">
        <v>0.808837890625</v>
      </c>
      <c r="P24" s="9">
        <v>0.74879950284957797</v>
      </c>
      <c r="Q24" s="9">
        <v>0.76222312450408902</v>
      </c>
      <c r="R24" s="15">
        <f t="shared" si="4"/>
        <v>0.77717865705490063</v>
      </c>
      <c r="S24" s="15">
        <f t="shared" si="5"/>
        <v>2.8639110405489283E-2</v>
      </c>
      <c r="T24" s="15"/>
      <c r="U24" s="15"/>
      <c r="W24" s="20">
        <v>0.4</v>
      </c>
      <c r="X24" s="20">
        <f>AVERAGE(R42:R43)</f>
        <v>1.3913950920104941</v>
      </c>
      <c r="Y24" s="20">
        <f>AVERAGE(S42:S43)</f>
        <v>3.6159298045896054E-3</v>
      </c>
    </row>
    <row r="25" spans="2:25" x14ac:dyDescent="0.2">
      <c r="B25" s="29"/>
      <c r="K25" s="13" t="s">
        <v>26</v>
      </c>
      <c r="L25" s="9" t="s">
        <v>364</v>
      </c>
      <c r="M25" s="9">
        <v>0.86718028783798196</v>
      </c>
      <c r="N25" s="9">
        <v>0.74661612510681097</v>
      </c>
      <c r="O25" s="9">
        <v>0.91924041509628296</v>
      </c>
      <c r="P25" s="9">
        <v>0.82522970438003496</v>
      </c>
      <c r="Q25" s="9">
        <v>0.78485155105590798</v>
      </c>
      <c r="R25" s="15">
        <f t="shared" si="4"/>
        <v>0.82862361669540374</v>
      </c>
      <c r="S25" s="15">
        <f t="shared" si="5"/>
        <v>6.7732492368560382E-2</v>
      </c>
      <c r="T25" s="15"/>
      <c r="U25" s="15"/>
      <c r="W25" s="20">
        <v>0.45</v>
      </c>
      <c r="X25" s="20">
        <f>AVERAGE(R44:R46)</f>
        <v>1.3072669148445091</v>
      </c>
      <c r="Y25" s="20">
        <f>AVERAGE(S44:S46)</f>
        <v>4.8766503988134736E-2</v>
      </c>
    </row>
    <row r="26" spans="2:25" x14ac:dyDescent="0.2">
      <c r="B26" s="29"/>
      <c r="C26" s="29"/>
      <c r="D26" s="29"/>
      <c r="E26" s="29"/>
      <c r="F26" s="29"/>
      <c r="G26" s="29"/>
      <c r="K26" s="13" t="s">
        <v>27</v>
      </c>
      <c r="L26" s="9" t="s">
        <v>218</v>
      </c>
      <c r="M26" s="9">
        <v>1.02109110355377</v>
      </c>
      <c r="N26" s="9">
        <v>0.96743941307067804</v>
      </c>
      <c r="O26" s="9">
        <v>0.98062914609909002</v>
      </c>
      <c r="P26" s="9">
        <v>0.896320641040802</v>
      </c>
      <c r="Q26" s="9">
        <v>1.1035071611404399</v>
      </c>
      <c r="R26" s="15">
        <f t="shared" si="4"/>
        <v>0.99379749298095599</v>
      </c>
      <c r="S26" s="15">
        <f t="shared" si="5"/>
        <v>7.6077333789514714E-2</v>
      </c>
      <c r="T26" s="15"/>
      <c r="U26" s="15"/>
      <c r="W26" s="20">
        <v>0.5</v>
      </c>
      <c r="X26" s="20">
        <f>AVERAGE(R47:R49)</f>
        <v>1.1165434281031239</v>
      </c>
      <c r="Y26" s="20">
        <f>AVERAGE(S47:S49)</f>
        <v>1.2245933100450392E-2</v>
      </c>
    </row>
    <row r="27" spans="2:25" x14ac:dyDescent="0.2">
      <c r="B27" s="29"/>
      <c r="K27" s="13" t="s">
        <v>28</v>
      </c>
      <c r="L27" s="9" t="s">
        <v>365</v>
      </c>
      <c r="M27" s="9">
        <v>1.1623461246490401</v>
      </c>
      <c r="N27" s="9">
        <v>1.07780444622039</v>
      </c>
      <c r="O27" s="9">
        <v>1.07091081142425</v>
      </c>
      <c r="P27" s="9">
        <v>1.09000945091247</v>
      </c>
      <c r="Q27" s="9">
        <v>1.0746420621871899</v>
      </c>
      <c r="R27" s="15">
        <f t="shared" si="4"/>
        <v>1.095142579078668</v>
      </c>
      <c r="S27" s="15">
        <f t="shared" si="5"/>
        <v>3.8245019772143105E-2</v>
      </c>
      <c r="T27" s="15"/>
      <c r="U27" s="15"/>
      <c r="W27" s="20">
        <v>0.55000000000000004</v>
      </c>
      <c r="X27" s="20">
        <f>AVERAGE(R50:R52)</f>
        <v>1.205416329701736</v>
      </c>
      <c r="Y27" s="20">
        <f>AVERAGE(S50:S52)</f>
        <v>3.7568284856965249E-2</v>
      </c>
    </row>
    <row r="28" spans="2:25" x14ac:dyDescent="0.2">
      <c r="B28" s="29"/>
      <c r="K28" s="13" t="s">
        <v>29</v>
      </c>
      <c r="L28" s="9" t="s">
        <v>366</v>
      </c>
      <c r="M28" s="9">
        <v>1.0929541587829501</v>
      </c>
      <c r="N28" s="9">
        <v>1.1448323726653999</v>
      </c>
      <c r="O28" s="9">
        <v>1.01022064685821</v>
      </c>
      <c r="P28" s="9">
        <v>1.03312122821807</v>
      </c>
      <c r="Q28" s="9">
        <v>1.03853571414947</v>
      </c>
      <c r="R28" s="15">
        <f t="shared" si="4"/>
        <v>1.0639328241348198</v>
      </c>
      <c r="S28" s="15">
        <f t="shared" si="5"/>
        <v>5.446636678618616E-2</v>
      </c>
      <c r="T28" s="15"/>
      <c r="U28" s="15"/>
      <c r="W28" s="20">
        <v>0.6</v>
      </c>
      <c r="X28" s="20">
        <f>AVERAGE(R53:R55)</f>
        <v>1.0308380762735967</v>
      </c>
      <c r="Y28" s="20">
        <f>AVERAGE(S53:S55)</f>
        <v>2.5731381085081977E-2</v>
      </c>
    </row>
    <row r="29" spans="2:25" x14ac:dyDescent="0.2">
      <c r="B29" s="29"/>
      <c r="K29" s="13" t="s">
        <v>30</v>
      </c>
      <c r="L29" s="9" t="s">
        <v>367</v>
      </c>
      <c r="M29" s="9">
        <v>1.04049456119537</v>
      </c>
      <c r="N29" s="9">
        <v>1.0772761106491</v>
      </c>
      <c r="O29" s="9">
        <v>1.18654441833496</v>
      </c>
      <c r="P29" s="9">
        <v>1.158203125</v>
      </c>
      <c r="Q29" s="9">
        <v>1.15595018863677</v>
      </c>
      <c r="R29" s="15">
        <f t="shared" si="4"/>
        <v>1.1236936807632401</v>
      </c>
      <c r="S29" s="15">
        <f t="shared" si="5"/>
        <v>6.176221249114261E-2</v>
      </c>
      <c r="T29" s="15"/>
      <c r="U29" s="15"/>
      <c r="W29" s="20">
        <v>0.65</v>
      </c>
      <c r="X29" s="20">
        <f>AVERAGE(R56:R58)</f>
        <v>1.3240467548370314</v>
      </c>
      <c r="Y29" s="20">
        <f>AVERAGE(S56:S58)</f>
        <v>0.11312623714766312</v>
      </c>
    </row>
    <row r="30" spans="2:25" x14ac:dyDescent="0.2">
      <c r="B30" s="29"/>
      <c r="K30" s="13" t="s">
        <v>31</v>
      </c>
      <c r="L30" s="9" t="s">
        <v>163</v>
      </c>
      <c r="M30" s="9">
        <v>1.2666312456130899</v>
      </c>
      <c r="N30" s="9">
        <v>1.2507339715957599</v>
      </c>
      <c r="O30" s="9">
        <v>1.2818784713745099</v>
      </c>
      <c r="P30" s="9">
        <v>1.26091313362121</v>
      </c>
      <c r="Q30" s="9">
        <v>1.31260108947753</v>
      </c>
      <c r="R30" s="15">
        <f t="shared" si="4"/>
        <v>1.2745515823364202</v>
      </c>
      <c r="S30" s="15">
        <f t="shared" si="5"/>
        <v>2.4070032692228568E-2</v>
      </c>
      <c r="T30" s="15"/>
      <c r="U30" s="15"/>
      <c r="W30" s="20">
        <v>0.7</v>
      </c>
      <c r="X30" s="20">
        <f>AVERAGE(R59:R61)</f>
        <v>1.473549914360041</v>
      </c>
      <c r="Y30" s="20">
        <f>AVERAGE(S59:S61)</f>
        <v>0.1695625179707064</v>
      </c>
    </row>
    <row r="31" spans="2:25" x14ac:dyDescent="0.2">
      <c r="B31" s="29"/>
      <c r="K31" s="13" t="s">
        <v>32</v>
      </c>
      <c r="L31" s="9" t="s">
        <v>368</v>
      </c>
      <c r="M31" s="9">
        <v>1.2052481174468901</v>
      </c>
      <c r="N31" s="9">
        <v>1.1876043081283501</v>
      </c>
      <c r="O31" s="9">
        <v>1.1499545574188199</v>
      </c>
      <c r="P31" s="9">
        <v>1.1499545574188199</v>
      </c>
      <c r="Q31" s="9">
        <v>1.18937492370605</v>
      </c>
      <c r="R31" s="15">
        <f t="shared" si="4"/>
        <v>1.176427292823786</v>
      </c>
      <c r="S31" s="15">
        <f t="shared" si="5"/>
        <v>2.5123784488907265E-2</v>
      </c>
      <c r="T31" s="15"/>
      <c r="U31" s="15"/>
      <c r="W31" s="20">
        <v>0.75</v>
      </c>
      <c r="X31" s="20" t="e">
        <f>AVERAGE(R62:R64)</f>
        <v>#DIV/0!</v>
      </c>
      <c r="Y31" s="20" t="e">
        <f>AVERAGE(S62:S64)</f>
        <v>#DIV/0!</v>
      </c>
    </row>
    <row r="32" spans="2:25" x14ac:dyDescent="0.2">
      <c r="K32" s="13" t="s">
        <v>33</v>
      </c>
      <c r="L32" s="9" t="s">
        <v>224</v>
      </c>
      <c r="M32" s="9">
        <v>1.28642082214355</v>
      </c>
      <c r="N32" s="9">
        <v>1.30204153060913</v>
      </c>
      <c r="O32" s="9">
        <v>1.4867761135101301</v>
      </c>
      <c r="P32" s="9">
        <v>1.28944027423858</v>
      </c>
      <c r="Q32" s="9">
        <v>1.3917704820632899</v>
      </c>
      <c r="R32" s="15">
        <f t="shared" si="4"/>
        <v>1.351289844512936</v>
      </c>
      <c r="S32" s="15">
        <f t="shared" si="5"/>
        <v>8.7255324954860727E-2</v>
      </c>
      <c r="T32" s="15"/>
      <c r="U32" s="17"/>
      <c r="W32" s="20">
        <v>0.8</v>
      </c>
      <c r="X32" s="20" t="e">
        <f>AVERAGE(R65:R67)</f>
        <v>#DIV/0!</v>
      </c>
      <c r="Y32" s="20" t="e">
        <f>AVERAGE(S65:S67)</f>
        <v>#DIV/0!</v>
      </c>
    </row>
    <row r="33" spans="11:25" x14ac:dyDescent="0.2">
      <c r="K33" s="13" t="s">
        <v>34</v>
      </c>
      <c r="L33" s="9" t="s">
        <v>369</v>
      </c>
      <c r="M33" s="9">
        <v>1.33208751678466</v>
      </c>
      <c r="N33" s="9">
        <v>1.3358256816864</v>
      </c>
      <c r="O33" s="9">
        <v>1.30889844894409</v>
      </c>
      <c r="P33" s="9">
        <v>1.3284871578216499</v>
      </c>
      <c r="Q33" s="9">
        <v>1.3315287828445399</v>
      </c>
      <c r="R33" s="15">
        <f t="shared" si="4"/>
        <v>1.327365517616268</v>
      </c>
      <c r="S33" s="15">
        <f t="shared" si="5"/>
        <v>1.0647712567660389E-2</v>
      </c>
      <c r="T33" s="15"/>
      <c r="U33" s="17"/>
      <c r="W33" s="20">
        <v>0.85</v>
      </c>
      <c r="X33" s="20" t="e">
        <f>AVERAGE(R68:R70)</f>
        <v>#DIV/0!</v>
      </c>
      <c r="Y33" s="20" t="e">
        <f>AVERAGE(S68:S70)</f>
        <v>#DIV/0!</v>
      </c>
    </row>
    <row r="34" spans="11:25" x14ac:dyDescent="0.2">
      <c r="K34" s="13" t="s">
        <v>35</v>
      </c>
      <c r="L34" s="9" t="s">
        <v>370</v>
      </c>
      <c r="M34" s="9">
        <v>1.2575701475143399</v>
      </c>
      <c r="N34" s="9">
        <v>1.1312669515609699</v>
      </c>
      <c r="O34" s="9">
        <v>1.22312200069427</v>
      </c>
      <c r="P34" s="9">
        <v>1.1607857942581099</v>
      </c>
      <c r="Q34" s="9">
        <v>1.20829153060913</v>
      </c>
      <c r="R34" s="15">
        <f t="shared" si="4"/>
        <v>1.1962072849273639</v>
      </c>
      <c r="S34" s="15">
        <f t="shared" si="5"/>
        <v>5.0268679916895473E-2</v>
      </c>
      <c r="T34" s="15"/>
      <c r="U34" s="15"/>
      <c r="W34" s="20">
        <v>0.9</v>
      </c>
      <c r="X34" s="20" t="e">
        <f>AVERAGE(R71:R73)</f>
        <v>#DIV/0!</v>
      </c>
      <c r="Y34" s="20" t="e">
        <f>AVERAGE(S71:S73)</f>
        <v>#DIV/0!</v>
      </c>
    </row>
    <row r="35" spans="11:25" x14ac:dyDescent="0.2">
      <c r="K35" s="13" t="s">
        <v>36</v>
      </c>
      <c r="L35" s="9" t="s">
        <v>371</v>
      </c>
      <c r="M35" s="9">
        <v>1.34728002548217</v>
      </c>
      <c r="N35" s="9">
        <v>1.26792812347412</v>
      </c>
      <c r="O35" s="9">
        <v>1.29462110996246</v>
      </c>
      <c r="P35" s="9">
        <v>1.3052053451537999</v>
      </c>
      <c r="Q35" s="9">
        <v>1.32654249668121</v>
      </c>
      <c r="R35" s="15">
        <f t="shared" si="4"/>
        <v>1.3083154201507519</v>
      </c>
      <c r="S35" s="15">
        <f t="shared" si="5"/>
        <v>3.0326585772002319E-2</v>
      </c>
      <c r="T35" s="15"/>
      <c r="U35" s="15"/>
      <c r="W35" s="20">
        <v>0.95</v>
      </c>
      <c r="X35" s="20" t="e">
        <f>AVERAGE(R74:R76)</f>
        <v>#DIV/0!</v>
      </c>
      <c r="Y35" s="20" t="e">
        <f>AVERAGE(S74:S76)</f>
        <v>#DIV/0!</v>
      </c>
    </row>
    <row r="36" spans="11:25" x14ac:dyDescent="0.2">
      <c r="K36" s="13" t="s">
        <v>37</v>
      </c>
      <c r="L36" s="9" t="s">
        <v>372</v>
      </c>
      <c r="M36" s="9">
        <v>0.97104543447494496</v>
      </c>
      <c r="N36" s="9">
        <v>1.0375401973724301</v>
      </c>
      <c r="O36" s="9">
        <v>1.0803310871124201</v>
      </c>
      <c r="P36" s="9">
        <v>1.0235861539840601</v>
      </c>
      <c r="Q36" s="9">
        <v>0.98661273717880205</v>
      </c>
      <c r="R36" s="15">
        <f t="shared" si="4"/>
        <v>1.0198231220245315</v>
      </c>
      <c r="S36" s="15">
        <f t="shared" si="5"/>
        <v>4.3218808034741193E-2</v>
      </c>
      <c r="T36" s="15"/>
      <c r="U36" s="15"/>
      <c r="W36" s="20">
        <v>1</v>
      </c>
      <c r="X36" s="20" t="e">
        <f>AVERAGE(R77:R79)</f>
        <v>#DIV/0!</v>
      </c>
      <c r="Y36" s="20" t="e">
        <f>AVERAGE(S77:S79)</f>
        <v>#DIV/0!</v>
      </c>
    </row>
    <row r="37" spans="11:25" x14ac:dyDescent="0.2">
      <c r="K37" s="13" t="s">
        <v>38</v>
      </c>
      <c r="L37" s="9" t="s">
        <v>373</v>
      </c>
      <c r="M37" s="9">
        <v>1.4552751779556199</v>
      </c>
      <c r="N37" s="9">
        <v>1.3721628189086901</v>
      </c>
      <c r="O37" s="9">
        <v>1.3871885538101101</v>
      </c>
      <c r="P37" s="9">
        <v>1.13944959640502</v>
      </c>
      <c r="Q37" s="9">
        <v>1.4325523376464799</v>
      </c>
      <c r="R37" s="15">
        <f t="shared" si="4"/>
        <v>1.3573256969451839</v>
      </c>
      <c r="S37" s="15">
        <f t="shared" si="5"/>
        <v>0.12632801935467275</v>
      </c>
      <c r="T37" s="15"/>
      <c r="U37" s="15"/>
    </row>
    <row r="38" spans="11:25" x14ac:dyDescent="0.2">
      <c r="K38" s="13" t="s">
        <v>39</v>
      </c>
      <c r="L38" s="9" t="s">
        <v>374</v>
      </c>
      <c r="M38" s="9">
        <v>1.1649372577667201</v>
      </c>
      <c r="N38" s="9">
        <v>1.1613966226577701</v>
      </c>
      <c r="O38" s="9">
        <v>1.42118597030639</v>
      </c>
      <c r="P38" s="9">
        <v>1.14497578144073</v>
      </c>
      <c r="Q38" s="9">
        <v>1.15496718883514</v>
      </c>
      <c r="R38" s="15">
        <f t="shared" si="4"/>
        <v>1.2094925642013501</v>
      </c>
      <c r="S38" s="15">
        <f t="shared" si="5"/>
        <v>0.11858322491968222</v>
      </c>
      <c r="T38" s="15"/>
      <c r="U38" s="15"/>
      <c r="V38" s="28"/>
    </row>
    <row r="39" spans="11:25" x14ac:dyDescent="0.2">
      <c r="K39" s="13" t="s">
        <v>40</v>
      </c>
      <c r="L39" s="9" t="s">
        <v>375</v>
      </c>
      <c r="M39" s="9">
        <v>1.46594202518463</v>
      </c>
      <c r="N39" s="9">
        <v>1.3571586608886701</v>
      </c>
      <c r="O39" s="9">
        <v>1.50838422775268</v>
      </c>
      <c r="P39" s="9">
        <v>1.4835439920425399</v>
      </c>
      <c r="Q39" s="9">
        <v>1.58159375190734</v>
      </c>
      <c r="R39" s="15">
        <f t="shared" si="4"/>
        <v>1.479324531555172</v>
      </c>
      <c r="S39" s="15">
        <f t="shared" si="5"/>
        <v>8.1278617504541559E-2</v>
      </c>
      <c r="T39" s="15"/>
      <c r="U39" s="15"/>
    </row>
    <row r="40" spans="11:25" x14ac:dyDescent="0.2">
      <c r="K40" s="13" t="s">
        <v>41</v>
      </c>
      <c r="L40" s="9" t="s">
        <v>374</v>
      </c>
      <c r="M40" s="9">
        <v>1.6020641326904199</v>
      </c>
      <c r="N40" s="9">
        <v>1.59247279167175</v>
      </c>
      <c r="O40" s="9">
        <v>1.6163803339004501</v>
      </c>
      <c r="P40" s="9">
        <v>1.6042194366455</v>
      </c>
      <c r="Q40" s="9">
        <v>1.5933923721313401</v>
      </c>
      <c r="R40" s="15">
        <f t="shared" si="4"/>
        <v>1.6017058134078919</v>
      </c>
      <c r="S40" s="15">
        <f t="shared" si="5"/>
        <v>9.697296561595516E-3</v>
      </c>
      <c r="T40" s="9" t="s">
        <v>357</v>
      </c>
      <c r="U40" s="15"/>
    </row>
    <row r="41" spans="11:25" x14ac:dyDescent="0.2">
      <c r="K41" s="13" t="s">
        <v>42</v>
      </c>
      <c r="L41" s="9" t="s">
        <v>376</v>
      </c>
      <c r="M41" s="9">
        <v>1.0219873189926101</v>
      </c>
      <c r="N41" s="9">
        <v>0.96544462442398005</v>
      </c>
      <c r="O41" s="9">
        <v>1.08401715755462</v>
      </c>
      <c r="P41" s="9">
        <v>0.97231823205947798</v>
      </c>
      <c r="Q41" s="9">
        <v>1.19205594062805</v>
      </c>
      <c r="R41" s="15">
        <f t="shared" si="4"/>
        <v>1.0471646547317477</v>
      </c>
      <c r="S41" s="15">
        <f t="shared" si="5"/>
        <v>9.3895740409580861E-2</v>
      </c>
      <c r="T41" s="15"/>
      <c r="U41" s="17"/>
    </row>
    <row r="42" spans="11:25" x14ac:dyDescent="0.2">
      <c r="K42" s="13" t="s">
        <v>43</v>
      </c>
      <c r="L42" s="9" t="s">
        <v>114</v>
      </c>
      <c r="M42" s="9">
        <v>1.2939581871032699</v>
      </c>
      <c r="N42" s="9">
        <v>1.2954641580581601</v>
      </c>
      <c r="O42" s="9">
        <v>1.2929310798645</v>
      </c>
      <c r="P42" s="9">
        <v>1.2927552461624101</v>
      </c>
      <c r="Q42" s="9">
        <v>1.2970042228698699</v>
      </c>
      <c r="R42" s="15">
        <f t="shared" si="4"/>
        <v>1.2944225788116419</v>
      </c>
      <c r="S42" s="15">
        <f t="shared" si="5"/>
        <v>1.8006943314653621E-3</v>
      </c>
      <c r="T42" s="15"/>
      <c r="U42" s="17"/>
    </row>
    <row r="43" spans="11:25" x14ac:dyDescent="0.2">
      <c r="K43" s="13" t="s">
        <v>44</v>
      </c>
      <c r="L43" s="9" t="s">
        <v>181</v>
      </c>
      <c r="M43" s="9">
        <v>1.4840117692947301</v>
      </c>
      <c r="N43" s="9">
        <v>1.4890846014022801</v>
      </c>
      <c r="O43" s="9">
        <v>1.49671602249145</v>
      </c>
      <c r="P43" s="9">
        <v>1.4889891147613501</v>
      </c>
      <c r="Q43" s="9">
        <v>1.4830365180969201</v>
      </c>
      <c r="R43" s="15">
        <f t="shared" si="4"/>
        <v>1.488367605209346</v>
      </c>
      <c r="S43" s="15">
        <f t="shared" si="5"/>
        <v>5.4311652777138484E-3</v>
      </c>
      <c r="T43" s="15"/>
      <c r="U43" s="17"/>
    </row>
    <row r="44" spans="11:25" x14ac:dyDescent="0.2">
      <c r="K44" s="13" t="s">
        <v>45</v>
      </c>
      <c r="L44" s="9" t="s">
        <v>377</v>
      </c>
      <c r="M44" s="9">
        <v>1.71310091018676</v>
      </c>
      <c r="N44" s="9">
        <v>1.7240475416183401</v>
      </c>
      <c r="O44" s="9">
        <v>1.6748708486557</v>
      </c>
      <c r="P44" s="9">
        <v>1.8339606523513701</v>
      </c>
      <c r="Q44" s="9">
        <v>1.99383997917175</v>
      </c>
      <c r="R44" s="15">
        <f t="shared" si="4"/>
        <v>1.7879639863967838</v>
      </c>
      <c r="S44" s="15">
        <f t="shared" si="5"/>
        <v>0.12940292459686062</v>
      </c>
      <c r="T44" s="15"/>
      <c r="U44" s="15"/>
    </row>
    <row r="45" spans="11:25" x14ac:dyDescent="0.2">
      <c r="K45" s="13" t="s">
        <v>46</v>
      </c>
      <c r="L45" s="9" t="s">
        <v>327</v>
      </c>
      <c r="M45" s="9">
        <v>0.90253889560699396</v>
      </c>
      <c r="N45" s="9">
        <v>0.91489881277084295</v>
      </c>
      <c r="O45" s="9">
        <v>0.89635783433914096</v>
      </c>
      <c r="P45" s="9">
        <v>0.89630764722824097</v>
      </c>
      <c r="Q45" s="9">
        <v>0.91556453704833896</v>
      </c>
      <c r="R45" s="15">
        <f t="shared" si="4"/>
        <v>0.90513354539871149</v>
      </c>
      <c r="S45" s="15">
        <f t="shared" si="5"/>
        <v>9.563051608953814E-3</v>
      </c>
      <c r="T45" s="15"/>
      <c r="U45" s="15"/>
    </row>
    <row r="46" spans="11:25" x14ac:dyDescent="0.2">
      <c r="K46" s="13" t="s">
        <v>47</v>
      </c>
      <c r="L46" s="9" t="s">
        <v>186</v>
      </c>
      <c r="M46" s="9">
        <v>1.22926914691925</v>
      </c>
      <c r="N46" s="9">
        <v>1.23558938503265</v>
      </c>
      <c r="O46" s="9">
        <v>1.2205771207809399</v>
      </c>
      <c r="P46" s="9">
        <v>1.22192955017089</v>
      </c>
      <c r="Q46" s="9">
        <v>1.23615086078643</v>
      </c>
      <c r="R46" s="15">
        <f t="shared" si="4"/>
        <v>1.228703212738032</v>
      </c>
      <c r="S46" s="15">
        <f t="shared" si="5"/>
        <v>7.3335357585897713E-3</v>
      </c>
      <c r="T46" s="15"/>
      <c r="U46" s="15"/>
    </row>
    <row r="47" spans="11:25" x14ac:dyDescent="0.2">
      <c r="K47" s="13" t="s">
        <v>48</v>
      </c>
      <c r="L47" s="9" t="s">
        <v>213</v>
      </c>
      <c r="M47" s="9">
        <v>1.1459883451461701</v>
      </c>
      <c r="N47" s="9">
        <v>1.1591322422027499</v>
      </c>
      <c r="O47" s="9">
        <v>1.15430307388305</v>
      </c>
      <c r="P47" s="9">
        <v>1.16179251670837</v>
      </c>
      <c r="Q47" s="9">
        <v>1.1497234106063801</v>
      </c>
      <c r="R47" s="15">
        <f t="shared" si="4"/>
        <v>1.1541879177093439</v>
      </c>
      <c r="S47" s="15">
        <f t="shared" si="5"/>
        <v>6.5087315482279954E-3</v>
      </c>
      <c r="T47" s="15"/>
      <c r="U47" s="15"/>
    </row>
    <row r="48" spans="11:25" x14ac:dyDescent="0.2">
      <c r="K48" s="13" t="s">
        <v>49</v>
      </c>
      <c r="L48" s="9" t="s">
        <v>213</v>
      </c>
      <c r="M48" s="9">
        <v>1.07830941677093</v>
      </c>
      <c r="N48" s="9">
        <v>1.1035075187683101</v>
      </c>
      <c r="O48" s="9">
        <v>1.09324502944946</v>
      </c>
      <c r="P48" s="9">
        <v>1.11323261260986</v>
      </c>
      <c r="Q48" s="9">
        <v>1.1003621816635101</v>
      </c>
      <c r="R48" s="15">
        <f t="shared" si="4"/>
        <v>1.0977313518524141</v>
      </c>
      <c r="S48" s="15">
        <f t="shared" si="5"/>
        <v>1.3018382251821902E-2</v>
      </c>
      <c r="T48" s="15"/>
      <c r="U48" s="15"/>
    </row>
    <row r="49" spans="11:21" x14ac:dyDescent="0.2">
      <c r="K49" s="13" t="s">
        <v>50</v>
      </c>
      <c r="L49" s="9" t="s">
        <v>124</v>
      </c>
      <c r="M49" s="9">
        <v>1.09776806831359</v>
      </c>
      <c r="N49" s="9">
        <v>1.1146047115325901</v>
      </c>
      <c r="O49" s="9">
        <v>1.0816348791122401</v>
      </c>
      <c r="P49" s="9">
        <v>1.0793766975402801</v>
      </c>
      <c r="Q49" s="9">
        <v>1.1151707172393699</v>
      </c>
      <c r="R49" s="15">
        <f t="shared" si="4"/>
        <v>1.0977110147476141</v>
      </c>
      <c r="S49" s="15">
        <f t="shared" si="5"/>
        <v>1.7210685501301278E-2</v>
      </c>
      <c r="T49" s="15"/>
      <c r="U49" s="15"/>
    </row>
    <row r="50" spans="11:21" x14ac:dyDescent="0.2">
      <c r="K50" s="13" t="s">
        <v>51</v>
      </c>
      <c r="L50" s="9" t="s">
        <v>128</v>
      </c>
      <c r="M50" s="9">
        <v>1.1092665195464999</v>
      </c>
      <c r="N50" s="9">
        <v>1.27752077579498</v>
      </c>
      <c r="O50" s="9">
        <v>1.1339414119720399</v>
      </c>
      <c r="P50" s="9">
        <v>1.1108925342559799</v>
      </c>
      <c r="Q50" s="9">
        <v>1.1904428005218499</v>
      </c>
      <c r="R50" s="15">
        <f t="shared" si="4"/>
        <v>1.1644128084182699</v>
      </c>
      <c r="S50" s="15">
        <f t="shared" si="5"/>
        <v>7.1247827505689726E-2</v>
      </c>
      <c r="T50" s="15"/>
      <c r="U50" s="15"/>
    </row>
    <row r="51" spans="11:21" x14ac:dyDescent="0.2">
      <c r="K51" s="13" t="s">
        <v>52</v>
      </c>
      <c r="L51" s="9" t="s">
        <v>329</v>
      </c>
      <c r="M51" s="9">
        <v>1.3854563236236499</v>
      </c>
      <c r="N51" s="9">
        <v>1.38532149791717</v>
      </c>
      <c r="O51" s="9">
        <v>1.3864115476608201</v>
      </c>
      <c r="P51" s="9">
        <v>1.38635277748107</v>
      </c>
      <c r="Q51" s="9">
        <v>1.38543224334716</v>
      </c>
      <c r="R51" s="15">
        <f t="shared" si="4"/>
        <v>1.3857948780059741</v>
      </c>
      <c r="S51" s="15">
        <f t="shared" si="5"/>
        <v>5.3892136753902161E-4</v>
      </c>
      <c r="T51" s="15"/>
      <c r="U51" s="15"/>
    </row>
    <row r="52" spans="11:21" x14ac:dyDescent="0.2">
      <c r="K52" s="13" t="s">
        <v>53</v>
      </c>
      <c r="L52" s="9" t="s">
        <v>378</v>
      </c>
      <c r="M52" s="9">
        <v>1.06822514533996</v>
      </c>
      <c r="N52" s="9">
        <v>1.00051510334014</v>
      </c>
      <c r="O52" s="9">
        <v>1.06877446174621</v>
      </c>
      <c r="P52" s="9">
        <v>1.07969498634338</v>
      </c>
      <c r="Q52" s="9">
        <v>1.1129968166351301</v>
      </c>
      <c r="R52" s="15">
        <f t="shared" si="4"/>
        <v>1.0660413026809641</v>
      </c>
      <c r="S52" s="15">
        <f t="shared" si="5"/>
        <v>4.0918105697667004E-2</v>
      </c>
      <c r="T52" s="15" t="s">
        <v>200</v>
      </c>
      <c r="U52" s="15"/>
    </row>
    <row r="53" spans="11:21" x14ac:dyDescent="0.2">
      <c r="K53" s="13" t="s">
        <v>54</v>
      </c>
      <c r="L53" s="9" t="s">
        <v>132</v>
      </c>
      <c r="M53" s="9">
        <v>1.40972912311553</v>
      </c>
      <c r="N53" s="9">
        <v>1.3979519605636499</v>
      </c>
      <c r="O53" s="9">
        <v>1.4248903989791799</v>
      </c>
      <c r="P53" s="9">
        <v>1.4284439086914</v>
      </c>
      <c r="Q53" s="9">
        <v>1.3970311880111601</v>
      </c>
      <c r="R53" s="15">
        <f t="shared" si="4"/>
        <v>1.4116093158721839</v>
      </c>
      <c r="S53" s="15">
        <f t="shared" si="5"/>
        <v>1.4683076777721111E-2</v>
      </c>
      <c r="T53" s="17" t="s">
        <v>202</v>
      </c>
      <c r="U53" s="15"/>
    </row>
    <row r="54" spans="11:21" x14ac:dyDescent="0.2">
      <c r="K54" s="13" t="s">
        <v>55</v>
      </c>
      <c r="L54" s="9" t="s">
        <v>195</v>
      </c>
      <c r="M54" s="9">
        <v>0.70410269498824996</v>
      </c>
      <c r="N54" s="9">
        <v>0.66556721925735396</v>
      </c>
      <c r="O54" s="9">
        <v>0.64565646648406905</v>
      </c>
      <c r="P54" s="9">
        <v>0.69829142093658403</v>
      </c>
      <c r="Q54" s="9">
        <v>0.72383099794387795</v>
      </c>
      <c r="R54" s="15">
        <f t="shared" si="4"/>
        <v>0.6874897599220271</v>
      </c>
      <c r="S54" s="15">
        <f t="shared" si="5"/>
        <v>3.1400530657177218E-2</v>
      </c>
      <c r="T54" s="15"/>
      <c r="U54" s="15"/>
    </row>
    <row r="55" spans="11:21" x14ac:dyDescent="0.2">
      <c r="K55" s="13" t="s">
        <v>56</v>
      </c>
      <c r="L55" s="9" t="s">
        <v>195</v>
      </c>
      <c r="M55" s="9">
        <v>1.0280221700668299</v>
      </c>
      <c r="N55" s="9">
        <v>0.94568389654159501</v>
      </c>
      <c r="O55" s="9">
        <v>0.98669373989105202</v>
      </c>
      <c r="P55" s="9">
        <v>1.01209700107574</v>
      </c>
      <c r="Q55" s="9">
        <v>0.994578957557678</v>
      </c>
      <c r="R55" s="15">
        <f t="shared" si="4"/>
        <v>0.99341515302657901</v>
      </c>
      <c r="S55" s="15">
        <f t="shared" si="5"/>
        <v>3.1110535820347604E-2</v>
      </c>
      <c r="T55" s="15"/>
      <c r="U55" s="15"/>
    </row>
    <row r="56" spans="11:21" x14ac:dyDescent="0.2">
      <c r="K56" s="13" t="s">
        <v>57</v>
      </c>
      <c r="L56" s="9" t="s">
        <v>379</v>
      </c>
      <c r="M56" s="9">
        <v>1.44174587726593</v>
      </c>
      <c r="N56" s="9">
        <v>1.3721562623977599</v>
      </c>
      <c r="O56" s="9">
        <v>1.33375692367553</v>
      </c>
      <c r="P56" s="9">
        <v>1.3405611515045099</v>
      </c>
      <c r="Q56" s="9">
        <v>1.4787170886993399</v>
      </c>
      <c r="R56" s="15">
        <f t="shared" si="4"/>
        <v>1.3933874607086141</v>
      </c>
      <c r="S56" s="15">
        <f t="shared" si="5"/>
        <v>6.4064158344707439E-2</v>
      </c>
      <c r="T56" s="15"/>
      <c r="U56" s="15"/>
    </row>
    <row r="57" spans="11:21" x14ac:dyDescent="0.2">
      <c r="K57" s="13" t="s">
        <v>58</v>
      </c>
      <c r="L57" s="9" t="s">
        <v>133</v>
      </c>
      <c r="M57" s="9">
        <v>1.1022522449493399</v>
      </c>
      <c r="N57" s="9">
        <v>1.0920765399932799</v>
      </c>
      <c r="O57" s="9">
        <v>1.11932921409606</v>
      </c>
      <c r="P57" s="9">
        <v>1.48672664165496</v>
      </c>
      <c r="Q57" s="9">
        <v>1.18159198760986</v>
      </c>
      <c r="R57" s="15">
        <f t="shared" si="4"/>
        <v>1.1963953256606998</v>
      </c>
      <c r="S57" s="15">
        <f t="shared" si="5"/>
        <v>0.16597885867261247</v>
      </c>
      <c r="T57" s="15"/>
      <c r="U57" s="15"/>
    </row>
    <row r="58" spans="11:21" x14ac:dyDescent="0.2">
      <c r="K58" s="13" t="s">
        <v>59</v>
      </c>
      <c r="L58" s="9" t="s">
        <v>134</v>
      </c>
      <c r="M58" s="9">
        <v>1.3715916872024501</v>
      </c>
      <c r="N58" s="9">
        <v>1.3012285232543901</v>
      </c>
      <c r="O58" s="9">
        <v>1.2867716550827</v>
      </c>
      <c r="P58" s="9">
        <v>1.3912206888198799</v>
      </c>
      <c r="Q58" s="9">
        <v>1.56097483634948</v>
      </c>
      <c r="R58" s="15">
        <f t="shared" si="4"/>
        <v>1.38235747814178</v>
      </c>
      <c r="S58" s="15">
        <f t="shared" si="5"/>
        <v>0.10933569442566944</v>
      </c>
      <c r="T58" s="15"/>
      <c r="U58" s="15"/>
    </row>
    <row r="59" spans="11:21" x14ac:dyDescent="0.2">
      <c r="K59" s="13" t="s">
        <v>60</v>
      </c>
      <c r="L59" s="9" t="s">
        <v>380</v>
      </c>
      <c r="M59" s="9">
        <v>1.8376150131225499</v>
      </c>
      <c r="N59" s="9">
        <v>2.7257506847381499</v>
      </c>
      <c r="O59" s="9">
        <v>1.8865381479263299</v>
      </c>
      <c r="P59" s="9">
        <v>1.8777049779891899</v>
      </c>
      <c r="Q59" s="9">
        <v>1.84532535076141</v>
      </c>
      <c r="R59" s="15">
        <f t="shared" si="4"/>
        <v>2.0345868349075262</v>
      </c>
      <c r="S59" s="15">
        <f t="shared" si="5"/>
        <v>0.38692880676494379</v>
      </c>
      <c r="T59" s="17"/>
      <c r="U59" s="15"/>
    </row>
    <row r="60" spans="11:21" x14ac:dyDescent="0.2">
      <c r="K60" s="13" t="s">
        <v>61</v>
      </c>
      <c r="L60" s="9" t="s">
        <v>137</v>
      </c>
      <c r="M60" s="9">
        <v>1.2268041372299101</v>
      </c>
      <c r="N60" s="9">
        <v>1.2459083795547401</v>
      </c>
      <c r="O60" s="9">
        <v>1.1928836107253999</v>
      </c>
      <c r="P60" s="9">
        <v>1.1971528530120801</v>
      </c>
      <c r="Q60" s="9">
        <v>1.24700963497161</v>
      </c>
      <c r="R60" s="15">
        <f t="shared" si="4"/>
        <v>1.2219517230987482</v>
      </c>
      <c r="S60" s="15">
        <f t="shared" si="5"/>
        <v>2.5909966100922784E-2</v>
      </c>
      <c r="T60" s="15"/>
      <c r="U60" s="15"/>
    </row>
    <row r="61" spans="11:21" x14ac:dyDescent="0.2">
      <c r="K61" s="13" t="s">
        <v>62</v>
      </c>
      <c r="L61" s="9" t="s">
        <v>139</v>
      </c>
      <c r="M61" s="9">
        <v>1.2680746316909699</v>
      </c>
      <c r="N61" s="9">
        <v>1.0888043642044001</v>
      </c>
      <c r="O61" s="9">
        <v>1.05223488807678</v>
      </c>
      <c r="P61" s="9">
        <v>1.2520318031311</v>
      </c>
      <c r="Q61" s="9">
        <v>1.1594102382659901</v>
      </c>
      <c r="R61" s="15">
        <f t="shared" si="4"/>
        <v>1.1641111850738481</v>
      </c>
      <c r="S61" s="15">
        <f t="shared" si="5"/>
        <v>9.5848781046252662E-2</v>
      </c>
      <c r="T61" s="15"/>
      <c r="U61" s="15"/>
    </row>
    <row r="62" spans="11:21" x14ac:dyDescent="0.2">
      <c r="K62" s="13" t="s">
        <v>63</v>
      </c>
      <c r="L62" s="9" t="s">
        <v>143</v>
      </c>
      <c r="M62" s="9">
        <v>0.78151798248291005</v>
      </c>
      <c r="N62" s="9">
        <v>0.884679734706878</v>
      </c>
      <c r="O62" s="9">
        <v>0.81902354955673196</v>
      </c>
      <c r="P62" s="9">
        <v>0.84429329633712702</v>
      </c>
      <c r="Q62" s="9">
        <v>1.08539938926696</v>
      </c>
      <c r="R62" s="15">
        <f t="shared" si="4"/>
        <v>0.88298279047012129</v>
      </c>
      <c r="S62" s="15">
        <f t="shared" si="5"/>
        <v>0.11922471199649533</v>
      </c>
      <c r="T62" s="15"/>
      <c r="U62" s="17"/>
    </row>
    <row r="63" spans="11:21" x14ac:dyDescent="0.2">
      <c r="K63" s="13" t="s">
        <v>64</v>
      </c>
      <c r="L63" s="17"/>
      <c r="M63" s="17"/>
      <c r="N63" s="17"/>
      <c r="O63" s="17"/>
      <c r="P63" s="17"/>
      <c r="Q63" s="17"/>
      <c r="R63" s="15" t="e">
        <f t="shared" si="4"/>
        <v>#DIV/0!</v>
      </c>
      <c r="S63" s="15" t="e">
        <f t="shared" si="5"/>
        <v>#DIV/0!</v>
      </c>
      <c r="T63" s="15"/>
      <c r="U63" s="15"/>
    </row>
    <row r="64" spans="11:21" x14ac:dyDescent="0.2">
      <c r="K64" s="13" t="s">
        <v>65</v>
      </c>
      <c r="L64" s="9" t="s">
        <v>142</v>
      </c>
      <c r="M64" s="9">
        <v>1.8046008348464899</v>
      </c>
      <c r="N64" s="9">
        <v>1.7586795091628999</v>
      </c>
      <c r="O64" s="9">
        <v>1.8375791311264</v>
      </c>
      <c r="P64" s="9">
        <v>1.8332645893096899</v>
      </c>
      <c r="Q64" s="9">
        <v>1.7912629842758101</v>
      </c>
      <c r="R64" s="15">
        <f t="shared" si="4"/>
        <v>1.8050774097442581</v>
      </c>
      <c r="S64" s="15">
        <f t="shared" si="5"/>
        <v>3.2383289045703659E-2</v>
      </c>
      <c r="T64" s="15"/>
      <c r="U64" s="15"/>
    </row>
    <row r="65" spans="11:21" x14ac:dyDescent="0.2">
      <c r="K65" s="13" t="s">
        <v>66</v>
      </c>
      <c r="L65" s="9" t="s">
        <v>250</v>
      </c>
      <c r="M65" s="15"/>
      <c r="N65" s="15"/>
      <c r="O65" s="15"/>
      <c r="P65" s="15"/>
      <c r="Q65" s="15"/>
      <c r="R65" s="15" t="e">
        <f t="shared" si="4"/>
        <v>#DIV/0!</v>
      </c>
      <c r="S65" s="15" t="e">
        <f t="shared" si="5"/>
        <v>#DIV/0!</v>
      </c>
      <c r="T65" s="15"/>
      <c r="U65" s="15"/>
    </row>
    <row r="66" spans="11:21" x14ac:dyDescent="0.2">
      <c r="K66" s="13" t="s">
        <v>67</v>
      </c>
      <c r="L66" s="9" t="s">
        <v>204</v>
      </c>
      <c r="M66" s="17"/>
      <c r="N66" s="15"/>
      <c r="O66" s="15"/>
      <c r="P66" s="15"/>
      <c r="Q66" s="15"/>
      <c r="R66" s="15" t="e">
        <f t="shared" si="4"/>
        <v>#DIV/0!</v>
      </c>
      <c r="S66" s="15" t="e">
        <f t="shared" si="5"/>
        <v>#DIV/0!</v>
      </c>
      <c r="T66" s="15"/>
      <c r="U66" s="15"/>
    </row>
    <row r="67" spans="11:21" x14ac:dyDescent="0.2">
      <c r="K67" s="13" t="s">
        <v>68</v>
      </c>
      <c r="L67" s="17"/>
      <c r="M67" s="15"/>
      <c r="N67" s="15"/>
      <c r="O67" s="15"/>
      <c r="P67" s="15"/>
      <c r="Q67" s="15"/>
      <c r="R67" s="15" t="e">
        <f t="shared" si="4"/>
        <v>#DIV/0!</v>
      </c>
      <c r="S67" s="15" t="e">
        <f t="shared" si="5"/>
        <v>#DIV/0!</v>
      </c>
      <c r="T67" s="15"/>
      <c r="U67" s="15"/>
    </row>
    <row r="68" spans="11:21" x14ac:dyDescent="0.2">
      <c r="K68" s="13" t="s">
        <v>69</v>
      </c>
      <c r="L68" s="17"/>
      <c r="M68" s="15"/>
      <c r="N68" s="15"/>
      <c r="O68" s="15"/>
      <c r="P68" s="15"/>
      <c r="Q68" s="15"/>
      <c r="R68" s="15" t="e">
        <f t="shared" si="4"/>
        <v>#DIV/0!</v>
      </c>
      <c r="S68" s="15" t="e">
        <f t="shared" si="5"/>
        <v>#DIV/0!</v>
      </c>
      <c r="T68" s="15"/>
      <c r="U68" s="15"/>
    </row>
    <row r="69" spans="11:21" x14ac:dyDescent="0.2">
      <c r="K69" s="13" t="s">
        <v>70</v>
      </c>
      <c r="L69" s="17"/>
      <c r="M69" s="15"/>
      <c r="N69" s="15"/>
      <c r="O69" s="15"/>
      <c r="P69" s="15"/>
      <c r="Q69" s="15"/>
      <c r="R69" s="15" t="e">
        <f t="shared" si="4"/>
        <v>#DIV/0!</v>
      </c>
      <c r="S69" s="15" t="e">
        <f t="shared" si="5"/>
        <v>#DIV/0!</v>
      </c>
      <c r="T69" s="17"/>
      <c r="U69" s="15"/>
    </row>
    <row r="70" spans="11:21" x14ac:dyDescent="0.2">
      <c r="K70" s="13" t="s">
        <v>71</v>
      </c>
      <c r="L70" s="17"/>
      <c r="M70" s="15"/>
      <c r="N70" s="15"/>
      <c r="O70" s="15"/>
      <c r="P70" s="15"/>
      <c r="Q70" s="15"/>
      <c r="R70" s="15" t="e">
        <f t="shared" si="4"/>
        <v>#DIV/0!</v>
      </c>
      <c r="S70" s="15" t="e">
        <f t="shared" si="5"/>
        <v>#DIV/0!</v>
      </c>
      <c r="T70" s="9" t="s">
        <v>357</v>
      </c>
      <c r="U70" s="15"/>
    </row>
    <row r="71" spans="11:21" x14ac:dyDescent="0.2">
      <c r="K71" s="13" t="s">
        <v>72</v>
      </c>
      <c r="L71" s="17"/>
      <c r="M71" s="15"/>
      <c r="N71" s="15"/>
      <c r="O71" s="15"/>
      <c r="P71" s="15"/>
      <c r="Q71" s="15"/>
      <c r="R71" s="15" t="e">
        <f t="shared" si="4"/>
        <v>#DIV/0!</v>
      </c>
      <c r="S71" s="15" t="e">
        <f t="shared" si="5"/>
        <v>#DIV/0!</v>
      </c>
      <c r="T71" s="15"/>
      <c r="U71" s="15"/>
    </row>
    <row r="72" spans="11:21" x14ac:dyDescent="0.2">
      <c r="K72" s="13" t="s">
        <v>73</v>
      </c>
      <c r="L72" s="17"/>
      <c r="M72" s="15"/>
      <c r="N72" s="15"/>
      <c r="O72" s="15"/>
      <c r="P72" s="15"/>
      <c r="Q72" s="15"/>
      <c r="R72" s="15" t="e">
        <f t="shared" si="4"/>
        <v>#DIV/0!</v>
      </c>
      <c r="S72" s="15" t="e">
        <f t="shared" si="5"/>
        <v>#DIV/0!</v>
      </c>
      <c r="T72" s="15"/>
      <c r="U72" s="15"/>
    </row>
    <row r="73" spans="11:21" x14ac:dyDescent="0.2">
      <c r="K73" s="13" t="s">
        <v>74</v>
      </c>
      <c r="L73" s="13"/>
      <c r="M73" s="15"/>
      <c r="N73" s="15"/>
      <c r="O73" s="15"/>
      <c r="P73" s="15"/>
      <c r="Q73" s="15"/>
      <c r="R73" s="15" t="e">
        <f t="shared" si="4"/>
        <v>#DIV/0!</v>
      </c>
      <c r="S73" s="15" t="e">
        <f t="shared" si="5"/>
        <v>#DIV/0!</v>
      </c>
      <c r="T73" s="15"/>
      <c r="U73" s="15"/>
    </row>
    <row r="74" spans="11:21" x14ac:dyDescent="0.2">
      <c r="K74" s="13" t="s">
        <v>75</v>
      </c>
      <c r="L74" s="13"/>
      <c r="M74" s="15"/>
      <c r="N74" s="15"/>
      <c r="O74" s="15"/>
      <c r="P74" s="15"/>
      <c r="Q74" s="15"/>
      <c r="R74" s="15" t="e">
        <f t="shared" si="4"/>
        <v>#DIV/0!</v>
      </c>
      <c r="S74" s="15" t="e">
        <f t="shared" si="5"/>
        <v>#DIV/0!</v>
      </c>
      <c r="T74" s="15"/>
      <c r="U74" s="15"/>
    </row>
    <row r="75" spans="11:21" x14ac:dyDescent="0.2">
      <c r="K75" s="13" t="s">
        <v>76</v>
      </c>
      <c r="L75" s="13"/>
      <c r="M75" s="15"/>
      <c r="N75" s="15"/>
      <c r="O75" s="15"/>
      <c r="P75" s="15"/>
      <c r="Q75" s="15"/>
      <c r="R75" s="15" t="e">
        <f t="shared" si="4"/>
        <v>#DIV/0!</v>
      </c>
      <c r="S75" s="15" t="e">
        <f t="shared" si="5"/>
        <v>#DIV/0!</v>
      </c>
      <c r="T75" s="15"/>
      <c r="U75" s="15"/>
    </row>
    <row r="76" spans="11:21" x14ac:dyDescent="0.2">
      <c r="K76" s="13" t="s">
        <v>77</v>
      </c>
      <c r="L76" s="13"/>
      <c r="M76" s="15"/>
      <c r="N76" s="15"/>
      <c r="O76" s="15"/>
      <c r="P76" s="15"/>
      <c r="Q76" s="15"/>
      <c r="R76" s="15" t="e">
        <f t="shared" si="4"/>
        <v>#DIV/0!</v>
      </c>
      <c r="S76" s="15" t="e">
        <f t="shared" si="5"/>
        <v>#DIV/0!</v>
      </c>
      <c r="T76" s="15"/>
      <c r="U76" s="15"/>
    </row>
    <row r="77" spans="11:21" x14ac:dyDescent="0.2">
      <c r="K77" s="13" t="s">
        <v>78</v>
      </c>
      <c r="L77" s="13"/>
      <c r="M77" s="15"/>
      <c r="N77" s="15"/>
      <c r="O77" s="15"/>
      <c r="P77" s="15"/>
      <c r="Q77" s="15"/>
      <c r="R77" s="15" t="e">
        <f t="shared" si="4"/>
        <v>#DIV/0!</v>
      </c>
      <c r="S77" s="15" t="e">
        <f t="shared" si="5"/>
        <v>#DIV/0!</v>
      </c>
      <c r="T77" s="15"/>
      <c r="U77" s="15"/>
    </row>
    <row r="78" spans="11:21" x14ac:dyDescent="0.2">
      <c r="K78" s="13" t="s">
        <v>79</v>
      </c>
      <c r="L78" s="13"/>
      <c r="M78" s="15"/>
      <c r="N78" s="15"/>
      <c r="O78" s="15"/>
      <c r="P78" s="15"/>
      <c r="Q78" s="15"/>
      <c r="R78" s="15" t="e">
        <f t="shared" si="4"/>
        <v>#DIV/0!</v>
      </c>
      <c r="S78" s="15" t="e">
        <f t="shared" si="5"/>
        <v>#DIV/0!</v>
      </c>
      <c r="T78" s="15"/>
      <c r="U78" s="15"/>
    </row>
    <row r="79" spans="11:21" x14ac:dyDescent="0.2">
      <c r="K79" s="13" t="s">
        <v>80</v>
      </c>
      <c r="L79" s="13"/>
      <c r="M79" s="15"/>
      <c r="N79" s="15"/>
      <c r="O79" s="15"/>
      <c r="P79" s="15"/>
      <c r="Q79" s="15"/>
      <c r="R79" s="15" t="e">
        <f t="shared" si="4"/>
        <v>#DIV/0!</v>
      </c>
      <c r="S79" s="15" t="e">
        <f t="shared" si="5"/>
        <v>#DIV/0!</v>
      </c>
      <c r="T79" s="15"/>
      <c r="U79" s="15"/>
    </row>
    <row r="80" spans="11:21" x14ac:dyDescent="0.2">
      <c r="K80" s="15"/>
      <c r="L80" s="17"/>
      <c r="M80" s="15"/>
      <c r="N80" s="15"/>
      <c r="O80" s="15"/>
      <c r="P80" s="15"/>
      <c r="Q80" s="15"/>
      <c r="R80" s="15"/>
      <c r="S80" s="15"/>
      <c r="T80" s="15"/>
      <c r="U80" s="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98718-BE18-CE44-A1E3-2C4F0B5EF779}">
  <dimension ref="B2:Y80"/>
  <sheetViews>
    <sheetView workbookViewId="0">
      <selection activeCell="V23" sqref="V23"/>
    </sheetView>
  </sheetViews>
  <sheetFormatPr baseColWidth="10" defaultRowHeight="16" x14ac:dyDescent="0.2"/>
  <cols>
    <col min="1" max="1" width="10.83203125" style="20"/>
    <col min="2" max="2" width="11" style="20" customWidth="1"/>
    <col min="3" max="11" width="10.83203125" style="20"/>
    <col min="12" max="12" width="17" style="20" customWidth="1"/>
    <col min="13" max="16384" width="10.83203125" style="20"/>
  </cols>
  <sheetData>
    <row r="2" spans="2:25" x14ac:dyDescent="0.2">
      <c r="B2" s="18" t="s">
        <v>14</v>
      </c>
      <c r="C2" s="19"/>
      <c r="D2" s="19"/>
      <c r="E2" s="19"/>
      <c r="F2" s="19"/>
      <c r="G2" s="19"/>
      <c r="H2" s="19"/>
      <c r="I2" s="19"/>
      <c r="K2" s="21" t="s">
        <v>15</v>
      </c>
      <c r="L2" s="22"/>
      <c r="M2" s="22"/>
      <c r="N2" s="22"/>
      <c r="O2" s="22"/>
      <c r="P2" s="22"/>
      <c r="Q2" s="22"/>
      <c r="R2" s="22"/>
    </row>
    <row r="3" spans="2:25" x14ac:dyDescent="0.2">
      <c r="B3" s="18" t="s">
        <v>5</v>
      </c>
      <c r="C3" s="18" t="s">
        <v>6</v>
      </c>
      <c r="D3" s="18" t="s">
        <v>7</v>
      </c>
      <c r="E3" s="18" t="s">
        <v>8</v>
      </c>
      <c r="F3" s="18" t="s">
        <v>9</v>
      </c>
      <c r="G3" s="18" t="s">
        <v>10</v>
      </c>
      <c r="H3" s="19"/>
      <c r="I3" s="19"/>
      <c r="K3" s="21" t="s">
        <v>5</v>
      </c>
      <c r="L3" s="21" t="s">
        <v>6</v>
      </c>
      <c r="M3" s="21" t="s">
        <v>7</v>
      </c>
      <c r="N3" s="21" t="s">
        <v>8</v>
      </c>
      <c r="O3" s="21" t="s">
        <v>9</v>
      </c>
      <c r="P3" s="21" t="s">
        <v>10</v>
      </c>
      <c r="Q3" s="24" t="s">
        <v>252</v>
      </c>
      <c r="R3" s="22"/>
    </row>
    <row r="4" spans="2:25" x14ac:dyDescent="0.2">
      <c r="B4" s="18" t="s">
        <v>0</v>
      </c>
      <c r="C4" s="23">
        <v>0.60135853290557795</v>
      </c>
      <c r="D4" s="23">
        <v>0.61551523208618097</v>
      </c>
      <c r="E4" s="23">
        <v>0.58385705947875899</v>
      </c>
      <c r="F4" s="23">
        <v>0.60052353143692005</v>
      </c>
      <c r="G4" s="23">
        <v>0.56764346361160201</v>
      </c>
      <c r="H4" s="23"/>
      <c r="I4" s="19"/>
      <c r="K4" s="21" t="s">
        <v>0</v>
      </c>
      <c r="L4" s="24">
        <v>0.56052058935165405</v>
      </c>
      <c r="M4" s="24">
        <v>0.54410672187805098</v>
      </c>
      <c r="N4" s="24">
        <v>0.58647906780242898</v>
      </c>
      <c r="O4" s="24">
        <v>0.57682794332504195</v>
      </c>
      <c r="P4" s="24">
        <v>0.534862279891967</v>
      </c>
      <c r="Q4" s="22"/>
      <c r="R4" s="24"/>
    </row>
    <row r="5" spans="2:25" x14ac:dyDescent="0.2">
      <c r="B5" s="18" t="s">
        <v>1</v>
      </c>
      <c r="C5" s="23">
        <v>0.58615899085998502</v>
      </c>
      <c r="D5" s="23">
        <v>0.60496014356613104</v>
      </c>
      <c r="E5" s="23">
        <v>0.57504516839981001</v>
      </c>
      <c r="F5" s="23">
        <v>0.60143280029296797</v>
      </c>
      <c r="G5" s="23">
        <v>0.56594252586364702</v>
      </c>
      <c r="H5" s="19"/>
      <c r="I5" s="19"/>
      <c r="K5" s="21" t="s">
        <v>1</v>
      </c>
      <c r="L5" s="24">
        <v>0.52977436780929499</v>
      </c>
      <c r="M5" s="24">
        <v>0.54660844802856401</v>
      </c>
      <c r="N5" s="24">
        <v>0.57112377882003695</v>
      </c>
      <c r="O5" s="24">
        <v>0.56093072891235296</v>
      </c>
      <c r="P5" s="24">
        <v>0.51778286695480302</v>
      </c>
      <c r="Q5" s="22"/>
      <c r="R5" s="22"/>
    </row>
    <row r="6" spans="2:25" x14ac:dyDescent="0.2">
      <c r="B6" s="18" t="s">
        <v>2</v>
      </c>
      <c r="C6" s="23">
        <v>0.62146884202957098</v>
      </c>
      <c r="D6" s="23">
        <v>0.59794527292251498</v>
      </c>
      <c r="E6" s="23">
        <v>0.57053261995315496</v>
      </c>
      <c r="F6" s="23">
        <v>0.61106389760971003</v>
      </c>
      <c r="G6" s="23">
        <v>0.55558818578720004</v>
      </c>
      <c r="H6" s="19"/>
      <c r="I6" s="19"/>
      <c r="K6" s="21" t="s">
        <v>2</v>
      </c>
      <c r="L6" s="24">
        <v>0.54177594184875399</v>
      </c>
      <c r="M6" s="24">
        <v>0.57080942392349199</v>
      </c>
      <c r="N6" s="24">
        <v>0.55448138713836603</v>
      </c>
      <c r="O6" s="24">
        <v>0.588118195533752</v>
      </c>
      <c r="P6" s="24">
        <v>0.52913063764572099</v>
      </c>
      <c r="Q6" s="22"/>
      <c r="R6" s="22"/>
    </row>
    <row r="7" spans="2:25" x14ac:dyDescent="0.2">
      <c r="B7" s="18" t="s">
        <v>3</v>
      </c>
      <c r="C7" s="23">
        <v>0.58549344539642301</v>
      </c>
      <c r="D7" s="23">
        <v>0.60294944047927801</v>
      </c>
      <c r="E7" s="23">
        <v>0.58846408128738403</v>
      </c>
      <c r="F7" s="23">
        <v>0.59807080030441195</v>
      </c>
      <c r="G7" s="23">
        <v>0.56340247392654397</v>
      </c>
      <c r="H7" s="19"/>
      <c r="I7" s="19"/>
      <c r="K7" s="21" t="s">
        <v>3</v>
      </c>
      <c r="L7" s="24">
        <v>0.56459313631057695</v>
      </c>
      <c r="M7" s="24">
        <v>0.59127569198608398</v>
      </c>
      <c r="N7" s="24">
        <v>0.58102387189865101</v>
      </c>
      <c r="O7" s="24">
        <v>0.56885629892349199</v>
      </c>
      <c r="P7" s="24">
        <v>0.55206817388534501</v>
      </c>
      <c r="Q7" s="22"/>
      <c r="R7" s="22"/>
    </row>
    <row r="8" spans="2:25" x14ac:dyDescent="0.2">
      <c r="B8" s="18" t="s">
        <v>4</v>
      </c>
      <c r="C8" s="23">
        <v>0.583390772342681</v>
      </c>
      <c r="D8" s="23">
        <v>0.61644333600997903</v>
      </c>
      <c r="E8" s="23">
        <v>0.58343690633773804</v>
      </c>
      <c r="F8" s="23">
        <v>0.60513472557067804</v>
      </c>
      <c r="G8" s="23">
        <v>0.56374031305313099</v>
      </c>
      <c r="H8" s="19"/>
      <c r="I8" s="19"/>
      <c r="K8" s="21" t="s">
        <v>4</v>
      </c>
      <c r="L8" s="24">
        <v>0.52951729297637895</v>
      </c>
      <c r="M8" s="24">
        <v>0.56105899810791005</v>
      </c>
      <c r="N8" s="24">
        <v>0.58667051792144698</v>
      </c>
      <c r="O8" s="24">
        <v>0.57457596063613803</v>
      </c>
      <c r="P8" s="24">
        <v>0.52062696218490601</v>
      </c>
      <c r="Q8" s="22"/>
      <c r="R8" s="22"/>
    </row>
    <row r="9" spans="2:25" x14ac:dyDescent="0.2">
      <c r="B9" s="18" t="s">
        <v>11</v>
      </c>
      <c r="C9" s="19">
        <f>AVERAGE(C4:C8)</f>
        <v>0.59557411670684757</v>
      </c>
      <c r="D9" s="19">
        <f t="shared" ref="D9:G9" si="0">AVERAGE(D4:D8)</f>
        <v>0.60756268501281685</v>
      </c>
      <c r="E9" s="19">
        <f t="shared" si="0"/>
        <v>0.58026716709136916</v>
      </c>
      <c r="F9" s="19">
        <f t="shared" si="0"/>
        <v>0.60324515104293752</v>
      </c>
      <c r="G9" s="19">
        <f t="shared" si="0"/>
        <v>0.56326339244842472</v>
      </c>
      <c r="H9" s="18" t="s">
        <v>13</v>
      </c>
      <c r="I9" s="18">
        <f>AVERAGE(C4:G8)</f>
        <v>0.58998250246047934</v>
      </c>
      <c r="K9" s="21" t="s">
        <v>11</v>
      </c>
      <c r="L9" s="22">
        <f>AVERAGE(L4:L8)</f>
        <v>0.54523626565933181</v>
      </c>
      <c r="M9" s="22">
        <f t="shared" ref="M9:P9" si="1">AVERAGE(M4:M8)</f>
        <v>0.56277185678482022</v>
      </c>
      <c r="N9" s="22">
        <f t="shared" si="1"/>
        <v>0.57595572471618595</v>
      </c>
      <c r="O9" s="22">
        <f t="shared" si="1"/>
        <v>0.57386182546615538</v>
      </c>
      <c r="P9" s="22">
        <f t="shared" si="1"/>
        <v>0.53089418411254841</v>
      </c>
      <c r="Q9" s="21" t="s">
        <v>13</v>
      </c>
      <c r="R9" s="21">
        <f>AVERAGE(L4:P8)</f>
        <v>0.5577439713478084</v>
      </c>
    </row>
    <row r="10" spans="2:25" x14ac:dyDescent="0.2">
      <c r="B10" s="18" t="s">
        <v>12</v>
      </c>
      <c r="C10" s="19">
        <f>STDEV(C4:C8)</f>
        <v>1.6145391594634465E-2</v>
      </c>
      <c r="D10" s="19">
        <f t="shared" ref="D10:G10" si="2">STDEV(D4:D8)</f>
        <v>8.1033762949479574E-3</v>
      </c>
      <c r="E10" s="19">
        <f t="shared" si="2"/>
        <v>7.282764840714692E-3</v>
      </c>
      <c r="F10" s="19">
        <f t="shared" si="2"/>
        <v>5.0539347012341935E-3</v>
      </c>
      <c r="G10" s="19">
        <f t="shared" si="2"/>
        <v>4.6238072371238307E-3</v>
      </c>
      <c r="H10" s="18" t="s">
        <v>12</v>
      </c>
      <c r="I10" s="18">
        <f>STDEV(C4:G8)</f>
        <v>1.8627737545949818E-2</v>
      </c>
      <c r="K10" s="21" t="s">
        <v>12</v>
      </c>
      <c r="L10" s="22">
        <f>STDEV(L4:L8)</f>
        <v>1.6631515417627776E-2</v>
      </c>
      <c r="M10" s="22">
        <f t="shared" ref="M10:P10" si="3">STDEV(M4:M8)</f>
        <v>1.929797939711721E-2</v>
      </c>
      <c r="N10" s="22">
        <f t="shared" si="3"/>
        <v>1.3562158148271379E-2</v>
      </c>
      <c r="O10" s="22">
        <f t="shared" si="3"/>
        <v>1.0060075617896036E-2</v>
      </c>
      <c r="P10" s="22">
        <f t="shared" si="3"/>
        <v>1.3642912142173348E-2</v>
      </c>
      <c r="Q10" s="21" t="s">
        <v>12</v>
      </c>
      <c r="R10" s="21">
        <f>STDEV(L4:P8)</f>
        <v>2.2315517241475624E-2</v>
      </c>
    </row>
    <row r="11" spans="2:25" x14ac:dyDescent="0.2">
      <c r="B11" s="19"/>
      <c r="C11" s="19"/>
      <c r="D11" s="19"/>
      <c r="E11" s="19"/>
      <c r="F11" s="19"/>
      <c r="G11" s="19"/>
      <c r="H11" s="19"/>
      <c r="I11" s="19"/>
      <c r="K11" s="22"/>
      <c r="L11" s="22"/>
      <c r="M11" s="22"/>
      <c r="N11" s="22"/>
      <c r="O11" s="22"/>
      <c r="P11" s="22"/>
      <c r="Q11" s="22"/>
      <c r="R11" s="22"/>
    </row>
    <row r="15" spans="2:25" x14ac:dyDescent="0.2">
      <c r="B15" s="25" t="s">
        <v>16</v>
      </c>
      <c r="C15" s="26"/>
      <c r="D15" s="26"/>
      <c r="E15" s="26"/>
      <c r="F15" s="26"/>
      <c r="G15" s="26"/>
      <c r="H15" s="26"/>
      <c r="I15" s="26"/>
      <c r="K15" s="13" t="s">
        <v>17</v>
      </c>
      <c r="L15" s="13"/>
      <c r="M15" s="15"/>
      <c r="N15" s="15"/>
      <c r="O15" s="15"/>
      <c r="P15" s="15"/>
      <c r="Q15" s="15"/>
      <c r="R15" s="15"/>
      <c r="S15" s="15"/>
      <c r="T15" s="15"/>
      <c r="U15" s="15"/>
      <c r="W15" s="20" t="s">
        <v>291</v>
      </c>
      <c r="X15" s="20" t="s">
        <v>5</v>
      </c>
      <c r="Y15" s="20" t="s">
        <v>12</v>
      </c>
    </row>
    <row r="16" spans="2:25" x14ac:dyDescent="0.2">
      <c r="B16" s="25" t="s">
        <v>5</v>
      </c>
      <c r="C16" s="25" t="s">
        <v>6</v>
      </c>
      <c r="D16" s="25" t="s">
        <v>7</v>
      </c>
      <c r="E16" s="25" t="s">
        <v>8</v>
      </c>
      <c r="F16" s="25" t="s">
        <v>9</v>
      </c>
      <c r="G16" s="25" t="s">
        <v>10</v>
      </c>
      <c r="H16" s="26"/>
      <c r="I16" s="26"/>
      <c r="K16" s="13" t="s">
        <v>5</v>
      </c>
      <c r="L16" s="13" t="s">
        <v>83</v>
      </c>
      <c r="M16" s="13" t="s">
        <v>0</v>
      </c>
      <c r="N16" s="13" t="s">
        <v>1</v>
      </c>
      <c r="O16" s="13" t="s">
        <v>2</v>
      </c>
      <c r="P16" s="13" t="s">
        <v>3</v>
      </c>
      <c r="Q16" s="13" t="s">
        <v>4</v>
      </c>
      <c r="R16" s="13" t="s">
        <v>11</v>
      </c>
      <c r="S16" s="13" t="s">
        <v>12</v>
      </c>
      <c r="T16" s="15"/>
      <c r="U16" s="15"/>
      <c r="W16" s="20">
        <v>0</v>
      </c>
      <c r="X16" s="20">
        <f>AVERAGE(R17:R19)</f>
        <v>0.60678929487864153</v>
      </c>
      <c r="Y16" s="20">
        <f>AVERAGE(S17:S19)</f>
        <v>1.1809631841871492E-2</v>
      </c>
    </row>
    <row r="17" spans="2:25" x14ac:dyDescent="0.2">
      <c r="B17" s="25" t="s">
        <v>0</v>
      </c>
      <c r="C17" s="27">
        <v>0.61124664545059204</v>
      </c>
      <c r="D17" s="27">
        <v>0.56250143051147405</v>
      </c>
      <c r="E17" s="27">
        <v>0.55854135751724199</v>
      </c>
      <c r="F17" s="27">
        <v>0.57692193984985296</v>
      </c>
      <c r="G17" s="27">
        <v>0.596271812915802</v>
      </c>
      <c r="H17" s="27"/>
      <c r="I17" s="27"/>
      <c r="K17" s="13" t="s">
        <v>18</v>
      </c>
      <c r="L17" s="9" t="s">
        <v>382</v>
      </c>
      <c r="M17" s="9">
        <v>0.57562118768692005</v>
      </c>
      <c r="N17" s="9">
        <v>0.58752149343490601</v>
      </c>
      <c r="O17" s="9">
        <v>0.58396416902542103</v>
      </c>
      <c r="P17" s="9">
        <v>0.58071571588516202</v>
      </c>
      <c r="Q17" s="9">
        <v>0.61094909906387296</v>
      </c>
      <c r="R17" s="15">
        <f>AVERAGE(M17:Q17)</f>
        <v>0.58775433301925639</v>
      </c>
      <c r="S17" s="15">
        <f>STDEV(M17:Q17)</f>
        <v>1.3685503973663757E-2</v>
      </c>
      <c r="T17" s="15"/>
      <c r="U17" s="17"/>
      <c r="W17" s="20">
        <v>0.05</v>
      </c>
      <c r="X17" s="20">
        <f>AVERAGE(R20:R22)</f>
        <v>0.54345159928003894</v>
      </c>
      <c r="Y17" s="20">
        <f>AVERAGE(S20:S22)</f>
        <v>8.8004152747395425E-3</v>
      </c>
    </row>
    <row r="18" spans="2:25" x14ac:dyDescent="0.2">
      <c r="B18" s="25" t="s">
        <v>1</v>
      </c>
      <c r="C18" s="27">
        <v>0.59070241451263406</v>
      </c>
      <c r="D18" s="27">
        <v>0.57102191448211603</v>
      </c>
      <c r="E18" s="27">
        <v>0.58523321151733398</v>
      </c>
      <c r="F18" s="27">
        <v>0.57728511095046997</v>
      </c>
      <c r="G18" s="27">
        <v>0.59026008844375599</v>
      </c>
      <c r="H18" s="26"/>
      <c r="I18" s="26"/>
      <c r="K18" s="13" t="s">
        <v>19</v>
      </c>
      <c r="L18" s="9" t="s">
        <v>382</v>
      </c>
      <c r="M18" s="9">
        <v>0.621826171875</v>
      </c>
      <c r="N18" s="9">
        <v>0.60691869258880604</v>
      </c>
      <c r="O18" s="9">
        <v>0.61002755165100098</v>
      </c>
      <c r="P18" s="9">
        <v>0.60504680871963501</v>
      </c>
      <c r="Q18" s="9">
        <v>0.62239307165145796</v>
      </c>
      <c r="R18" s="15">
        <f t="shared" ref="R18:R79" si="4">AVERAGE(M18:Q18)</f>
        <v>0.61324245929718002</v>
      </c>
      <c r="S18" s="15">
        <f t="shared" ref="S18:S79" si="5">STDEV(M18:Q18)</f>
        <v>8.2901775165177029E-3</v>
      </c>
      <c r="T18" s="15"/>
      <c r="U18" s="15"/>
      <c r="W18" s="20">
        <v>0.1</v>
      </c>
      <c r="X18" s="20">
        <f>AVERAGE(R23:R25)</f>
        <v>0.53940714200337692</v>
      </c>
      <c r="Y18" s="20">
        <f>AVERAGE(S23:S25)</f>
        <v>4.0010425843179903E-2</v>
      </c>
    </row>
    <row r="19" spans="2:25" x14ac:dyDescent="0.2">
      <c r="B19" s="25" t="s">
        <v>2</v>
      </c>
      <c r="C19" s="27">
        <v>0.59745174646377497</v>
      </c>
      <c r="D19" s="27">
        <v>0.57317250967025701</v>
      </c>
      <c r="E19" s="27">
        <v>0.57493388652801503</v>
      </c>
      <c r="F19" s="27">
        <v>0.57797473669052102</v>
      </c>
      <c r="G19" s="27">
        <v>0.59289020299911499</v>
      </c>
      <c r="H19" s="26"/>
      <c r="I19" s="26"/>
      <c r="K19" s="13" t="s">
        <v>20</v>
      </c>
      <c r="L19" s="9" t="s">
        <v>382</v>
      </c>
      <c r="M19" s="9">
        <v>0.61150181293487504</v>
      </c>
      <c r="N19" s="9">
        <v>0.61525881290435702</v>
      </c>
      <c r="O19" s="9">
        <v>0.62914800643920898</v>
      </c>
      <c r="P19" s="9">
        <v>0.637012779712677</v>
      </c>
      <c r="Q19" s="9">
        <v>0.60393404960632302</v>
      </c>
      <c r="R19" s="15">
        <f t="shared" si="4"/>
        <v>0.61937109231948817</v>
      </c>
      <c r="S19" s="15">
        <f t="shared" si="5"/>
        <v>1.3453214035433017E-2</v>
      </c>
      <c r="T19" s="15"/>
      <c r="U19" s="15"/>
      <c r="W19" s="20">
        <v>0.15</v>
      </c>
      <c r="X19" s="20">
        <f>AVERAGE(R26:R28)</f>
        <v>0.59440089464187584</v>
      </c>
      <c r="Y19" s="20">
        <f>AVERAGE(S26:S28)</f>
        <v>2.8750460418422868E-2</v>
      </c>
    </row>
    <row r="20" spans="2:25" x14ac:dyDescent="0.2">
      <c r="B20" s="25" t="s">
        <v>3</v>
      </c>
      <c r="C20" s="27">
        <v>0.59752660989761297</v>
      </c>
      <c r="D20" s="27">
        <v>0.55611842870712203</v>
      </c>
      <c r="E20" s="27">
        <v>0.52190148830413796</v>
      </c>
      <c r="F20" s="27">
        <v>0.57042431831359797</v>
      </c>
      <c r="G20" s="27">
        <v>0.57346999645233099</v>
      </c>
      <c r="H20" s="26"/>
      <c r="I20" s="26"/>
      <c r="K20" s="13" t="s">
        <v>21</v>
      </c>
      <c r="L20" s="9" t="s">
        <v>383</v>
      </c>
      <c r="M20" s="9">
        <v>0.54013878107070901</v>
      </c>
      <c r="N20" s="9">
        <v>0.527943015098571</v>
      </c>
      <c r="O20" s="9">
        <v>0.55039185285568204</v>
      </c>
      <c r="P20" s="9">
        <v>0.53578448295593195</v>
      </c>
      <c r="Q20" s="9">
        <v>0.52638077735900801</v>
      </c>
      <c r="R20" s="15">
        <f t="shared" si="4"/>
        <v>0.53612778186798038</v>
      </c>
      <c r="S20" s="15">
        <f t="shared" si="5"/>
        <v>9.7681138642146687E-3</v>
      </c>
      <c r="T20" s="15"/>
      <c r="U20" s="15"/>
      <c r="W20" s="20">
        <v>0.2</v>
      </c>
      <c r="X20" s="20">
        <f>AVERAGE(R29:R31)</f>
        <v>0.55590799053509976</v>
      </c>
      <c r="Y20" s="20">
        <f>AVERAGE(S29:S31)</f>
        <v>2.5841766206863806E-2</v>
      </c>
    </row>
    <row r="21" spans="2:25" x14ac:dyDescent="0.2">
      <c r="B21" s="25" t="s">
        <v>4</v>
      </c>
      <c r="C21" s="27">
        <v>0.61067402362823398</v>
      </c>
      <c r="D21" s="27">
        <v>0.55449146032333296</v>
      </c>
      <c r="E21" s="27">
        <v>0.53395247459411599</v>
      </c>
      <c r="F21" s="27">
        <v>0.57099622488021795</v>
      </c>
      <c r="G21" s="27">
        <v>0.59926027059554998</v>
      </c>
      <c r="H21" s="26"/>
      <c r="I21" s="26"/>
      <c r="K21" s="13" t="s">
        <v>22</v>
      </c>
      <c r="L21" s="9" t="s">
        <v>383</v>
      </c>
      <c r="M21" s="9">
        <v>0.54013878107070901</v>
      </c>
      <c r="N21" s="9">
        <v>0.527943015098571</v>
      </c>
      <c r="O21" s="9">
        <v>0.55039185285568204</v>
      </c>
      <c r="P21" s="9">
        <v>0.53578448295593195</v>
      </c>
      <c r="Q21" s="9">
        <v>0.52638077735900801</v>
      </c>
      <c r="R21" s="15">
        <f t="shared" si="4"/>
        <v>0.53612778186798038</v>
      </c>
      <c r="S21" s="15">
        <f t="shared" si="5"/>
        <v>9.7681138642146687E-3</v>
      </c>
      <c r="T21" s="15"/>
      <c r="U21" s="15"/>
      <c r="W21" s="20">
        <v>0.25</v>
      </c>
      <c r="X21" s="20">
        <f>AVERAGE(R32:R34)</f>
        <v>0.54838732679684909</v>
      </c>
      <c r="Y21" s="20">
        <f>AVERAGE(S32:S34)</f>
        <v>2.8193918698925943E-2</v>
      </c>
    </row>
    <row r="22" spans="2:25" x14ac:dyDescent="0.2">
      <c r="B22" s="25" t="s">
        <v>11</v>
      </c>
      <c r="C22" s="26">
        <f>AVERAGE(C17:C21)</f>
        <v>0.60152028799056967</v>
      </c>
      <c r="D22" s="26">
        <f t="shared" ref="D22:G22" si="6">AVERAGE(D17:D21)</f>
        <v>0.56346114873886033</v>
      </c>
      <c r="E22" s="26">
        <f t="shared" si="6"/>
        <v>0.55491248369216906</v>
      </c>
      <c r="F22" s="26">
        <f t="shared" si="6"/>
        <v>0.57472046613693206</v>
      </c>
      <c r="G22" s="26">
        <f t="shared" si="6"/>
        <v>0.5904304742813109</v>
      </c>
      <c r="H22" s="25" t="s">
        <v>13</v>
      </c>
      <c r="I22" s="25">
        <f>AVERAGE(C17:G21)</f>
        <v>0.57700897216796843</v>
      </c>
      <c r="K22" s="13" t="s">
        <v>23</v>
      </c>
      <c r="L22" s="9" t="s">
        <v>384</v>
      </c>
      <c r="M22" s="9">
        <v>0.54661798477172796</v>
      </c>
      <c r="N22" s="9">
        <v>0.56418460607528598</v>
      </c>
      <c r="O22" s="9">
        <v>0.55816435813903797</v>
      </c>
      <c r="P22" s="9">
        <v>0.56241542100906305</v>
      </c>
      <c r="Q22" s="9">
        <v>0.55911380052566495</v>
      </c>
      <c r="R22" s="15">
        <f t="shared" si="4"/>
        <v>0.55809923410415607</v>
      </c>
      <c r="S22" s="15">
        <f t="shared" si="5"/>
        <v>6.8650180957892885E-3</v>
      </c>
      <c r="T22" s="15"/>
      <c r="U22" s="15"/>
      <c r="W22" s="20">
        <v>0.3</v>
      </c>
      <c r="X22" s="20">
        <f>AVERAGE(R35:R37)</f>
        <v>0.53039469917615212</v>
      </c>
      <c r="Y22" s="20">
        <f>AVERAGE(S35:S37)</f>
        <v>3.5694633545608055E-2</v>
      </c>
    </row>
    <row r="23" spans="2:25" x14ac:dyDescent="0.2">
      <c r="B23" s="25" t="s">
        <v>12</v>
      </c>
      <c r="C23" s="26">
        <f>STDEV(C17:C21)</f>
        <v>9.0543054263485107E-3</v>
      </c>
      <c r="D23" s="26">
        <f t="shared" ref="D23:G23" si="7">STDEV(D17:D21)</f>
        <v>8.467107188650104E-3</v>
      </c>
      <c r="E23" s="26">
        <f t="shared" si="7"/>
        <v>2.6750792654145452E-2</v>
      </c>
      <c r="F23" s="26">
        <f t="shared" si="7"/>
        <v>3.6858182749016054E-3</v>
      </c>
      <c r="G23" s="26">
        <f t="shared" si="7"/>
        <v>1.0072532512728577E-2</v>
      </c>
      <c r="H23" s="25" t="s">
        <v>12</v>
      </c>
      <c r="I23" s="25">
        <f>STDEV(C17:G21)</f>
        <v>2.1628644421682379E-2</v>
      </c>
      <c r="K23" s="13" t="s">
        <v>24</v>
      </c>
      <c r="L23" s="9" t="s">
        <v>385</v>
      </c>
      <c r="M23" s="9">
        <v>0.53320622444152799</v>
      </c>
      <c r="N23" s="9">
        <v>0.523204565048217</v>
      </c>
      <c r="O23" s="9">
        <v>0.51816326379776001</v>
      </c>
      <c r="P23" s="9">
        <v>0.53510671854019098</v>
      </c>
      <c r="Q23" s="9">
        <v>0.53756755590438798</v>
      </c>
      <c r="R23" s="15">
        <f t="shared" si="4"/>
        <v>0.52944966554641681</v>
      </c>
      <c r="S23" s="15">
        <f t="shared" si="5"/>
        <v>8.3426355523232056E-3</v>
      </c>
      <c r="T23" s="15"/>
      <c r="U23" s="15"/>
      <c r="W23" s="20">
        <v>0.35</v>
      </c>
      <c r="X23" s="20">
        <f>AVERAGE(R38:R40)</f>
        <v>0.49981612960497479</v>
      </c>
      <c r="Y23" s="20">
        <f>AVERAGE(S38:S40)</f>
        <v>3.988005229280614E-2</v>
      </c>
    </row>
    <row r="24" spans="2:25" x14ac:dyDescent="0.2">
      <c r="B24" s="26"/>
      <c r="C24" s="26"/>
      <c r="D24" s="26"/>
      <c r="E24" s="26"/>
      <c r="F24" s="26"/>
      <c r="G24" s="26"/>
      <c r="H24" s="26"/>
      <c r="I24" s="26"/>
      <c r="K24" s="13" t="s">
        <v>25</v>
      </c>
      <c r="L24" s="9" t="s">
        <v>386</v>
      </c>
      <c r="M24" s="9">
        <v>0.56445813179016102</v>
      </c>
      <c r="N24" s="9">
        <v>0.56420582532882602</v>
      </c>
      <c r="O24" s="9">
        <v>0.50775843858718805</v>
      </c>
      <c r="P24" s="9">
        <v>0.563970506191253</v>
      </c>
      <c r="Q24" s="9">
        <v>0.58069425821304299</v>
      </c>
      <c r="R24" s="15">
        <f t="shared" si="4"/>
        <v>0.55621743202209417</v>
      </c>
      <c r="S24" s="15">
        <f t="shared" si="5"/>
        <v>2.801438373616813E-2</v>
      </c>
      <c r="T24" s="15"/>
      <c r="U24" s="15"/>
      <c r="W24" s="20">
        <v>0.4</v>
      </c>
      <c r="X24" s="20">
        <f>AVERAGE(R42:R43)</f>
        <v>0.50947024822235054</v>
      </c>
      <c r="Y24" s="20">
        <f>AVERAGE(S42:S43)</f>
        <v>2.9630253934163041E-2</v>
      </c>
    </row>
    <row r="25" spans="2:25" x14ac:dyDescent="0.2">
      <c r="B25" s="29"/>
      <c r="K25" s="13" t="s">
        <v>26</v>
      </c>
      <c r="L25" s="9" t="s">
        <v>387</v>
      </c>
      <c r="M25" s="9">
        <v>0.61843252182006803</v>
      </c>
      <c r="N25" s="9">
        <v>0.51425701379776001</v>
      </c>
      <c r="O25" s="9">
        <v>0.45446735620498602</v>
      </c>
      <c r="P25" s="9">
        <v>0.62189930677413896</v>
      </c>
      <c r="Q25" s="9">
        <v>0.45371544361114502</v>
      </c>
      <c r="R25" s="15">
        <f t="shared" si="4"/>
        <v>0.53255432844161965</v>
      </c>
      <c r="S25" s="15">
        <f t="shared" si="5"/>
        <v>8.3674258241048377E-2</v>
      </c>
      <c r="T25" s="15"/>
      <c r="U25" s="15"/>
      <c r="W25" s="20">
        <v>0.45</v>
      </c>
      <c r="X25" s="20">
        <f>AVERAGE(R44:R46)</f>
        <v>0.55728038350741027</v>
      </c>
      <c r="Y25" s="20">
        <f>AVERAGE(S44:S46)</f>
        <v>5.5607919857798754E-2</v>
      </c>
    </row>
    <row r="26" spans="2:25" x14ac:dyDescent="0.2">
      <c r="B26" s="29"/>
      <c r="C26" s="29"/>
      <c r="D26" s="29"/>
      <c r="E26" s="29"/>
      <c r="F26" s="29"/>
      <c r="G26" s="29"/>
      <c r="K26" s="13" t="s">
        <v>27</v>
      </c>
      <c r="L26" s="9" t="s">
        <v>388</v>
      </c>
      <c r="M26" s="9">
        <v>0.56411892175674405</v>
      </c>
      <c r="N26" s="9">
        <v>0.56781351566314697</v>
      </c>
      <c r="O26" s="9">
        <v>0.58978945016860895</v>
      </c>
      <c r="P26" s="9">
        <v>0.53332835435867298</v>
      </c>
      <c r="Q26" s="9">
        <v>0.621909320354461</v>
      </c>
      <c r="R26" s="15">
        <f t="shared" si="4"/>
        <v>0.57539191246032684</v>
      </c>
      <c r="S26" s="15">
        <f t="shared" si="5"/>
        <v>3.2882418048405596E-2</v>
      </c>
      <c r="T26" s="15"/>
      <c r="U26" s="15"/>
      <c r="W26" s="20">
        <v>0.5</v>
      </c>
      <c r="X26" s="20">
        <f>AVERAGE(R47:R49)</f>
        <v>0.48772654136021881</v>
      </c>
      <c r="Y26" s="20">
        <f>AVERAGE(S47:S49)</f>
        <v>4.2551555229276151E-2</v>
      </c>
    </row>
    <row r="27" spans="2:25" x14ac:dyDescent="0.2">
      <c r="B27" s="29"/>
      <c r="K27" s="13" t="s">
        <v>28</v>
      </c>
      <c r="L27" s="9" t="s">
        <v>389</v>
      </c>
      <c r="M27" s="9">
        <v>0.56521999835967995</v>
      </c>
      <c r="N27" s="9">
        <v>0.55701452493667603</v>
      </c>
      <c r="O27" s="9">
        <v>0.53759056329727095</v>
      </c>
      <c r="P27" s="9">
        <v>0.54920738935470503</v>
      </c>
      <c r="Q27" s="9">
        <v>0.57784831523895197</v>
      </c>
      <c r="R27" s="15">
        <f t="shared" si="4"/>
        <v>0.55737615823745679</v>
      </c>
      <c r="S27" s="15">
        <f t="shared" si="5"/>
        <v>1.5321262766152963E-2</v>
      </c>
      <c r="T27" s="15"/>
      <c r="U27" s="15"/>
      <c r="W27" s="20">
        <v>0.55000000000000004</v>
      </c>
      <c r="X27" s="20">
        <f>AVERAGE(R50:R52)</f>
        <v>0.52700800299644412</v>
      </c>
      <c r="Y27" s="20">
        <f>AVERAGE(S50:S52)</f>
        <v>4.1720774932071415E-2</v>
      </c>
    </row>
    <row r="28" spans="2:25" x14ac:dyDescent="0.2">
      <c r="B28" s="29"/>
      <c r="K28" s="13" t="s">
        <v>29</v>
      </c>
      <c r="L28" s="9" t="s">
        <v>390</v>
      </c>
      <c r="M28" s="9">
        <v>0.62179654836654596</v>
      </c>
      <c r="N28" s="9">
        <v>0.690709829330444</v>
      </c>
      <c r="O28" s="9">
        <v>0.65215659141540505</v>
      </c>
      <c r="P28" s="9">
        <v>0.68410402536392201</v>
      </c>
      <c r="Q28" s="9">
        <v>0.60340607166290205</v>
      </c>
      <c r="R28" s="15">
        <f t="shared" si="4"/>
        <v>0.65043461322784379</v>
      </c>
      <c r="S28" s="15">
        <f t="shared" si="5"/>
        <v>3.8047700440710042E-2</v>
      </c>
      <c r="T28" s="15"/>
      <c r="U28" s="15"/>
      <c r="W28" s="20">
        <v>0.6</v>
      </c>
      <c r="X28" s="20">
        <f>AVERAGE(R53:R55)</f>
        <v>0.47150981823603272</v>
      </c>
      <c r="Y28" s="20">
        <f>AVERAGE(S53:S55)</f>
        <v>6.6851910837404133E-2</v>
      </c>
    </row>
    <row r="29" spans="2:25" x14ac:dyDescent="0.2">
      <c r="B29" s="29"/>
      <c r="K29" s="13" t="s">
        <v>30</v>
      </c>
      <c r="L29" s="9" t="s">
        <v>391</v>
      </c>
      <c r="M29" s="9">
        <v>0.58187532424926702</v>
      </c>
      <c r="N29" s="9">
        <v>0.55759477615356401</v>
      </c>
      <c r="O29" s="9">
        <v>0.59971231222152699</v>
      </c>
      <c r="P29" s="9">
        <v>0.53899097442626898</v>
      </c>
      <c r="Q29" s="9">
        <v>0.54767197370529097</v>
      </c>
      <c r="R29" s="15">
        <f t="shared" si="4"/>
        <v>0.56516907215118362</v>
      </c>
      <c r="S29" s="15">
        <f t="shared" si="5"/>
        <v>2.5105504914769632E-2</v>
      </c>
      <c r="T29" s="9" t="s">
        <v>381</v>
      </c>
      <c r="U29" s="15"/>
      <c r="W29" s="20">
        <v>0.65</v>
      </c>
      <c r="X29" s="20">
        <f>AVERAGE(R56:R58)</f>
        <v>0.46478418509165403</v>
      </c>
      <c r="Y29" s="20">
        <f>AVERAGE(S56:S58)</f>
        <v>2.6850142818216797E-2</v>
      </c>
    </row>
    <row r="30" spans="2:25" x14ac:dyDescent="0.2">
      <c r="B30" s="29"/>
      <c r="K30" s="13" t="s">
        <v>31</v>
      </c>
      <c r="L30" s="9" t="s">
        <v>392</v>
      </c>
      <c r="M30" s="9">
        <v>0.53171759843826205</v>
      </c>
      <c r="N30" s="9">
        <v>0.50448745489120395</v>
      </c>
      <c r="O30" s="9">
        <v>0.60200572013854903</v>
      </c>
      <c r="P30" s="9">
        <v>0.49623885750770502</v>
      </c>
      <c r="Q30" s="9">
        <v>0.55623263120651201</v>
      </c>
      <c r="R30" s="15">
        <f t="shared" si="4"/>
        <v>0.53813645243644637</v>
      </c>
      <c r="S30" s="15">
        <f t="shared" si="5"/>
        <v>4.2824117697109823E-2</v>
      </c>
      <c r="T30" s="15"/>
      <c r="U30" s="15"/>
      <c r="W30" s="20">
        <v>0.7</v>
      </c>
      <c r="X30" s="20">
        <f>AVERAGE(R59:R61)</f>
        <v>0.48135000467300371</v>
      </c>
      <c r="Y30" s="20">
        <f>AVERAGE(S59:S61)</f>
        <v>3.3801176029809109E-2</v>
      </c>
    </row>
    <row r="31" spans="2:25" x14ac:dyDescent="0.2">
      <c r="B31" s="29"/>
      <c r="K31" s="13" t="s">
        <v>32</v>
      </c>
      <c r="L31" s="9" t="s">
        <v>393</v>
      </c>
      <c r="M31" s="9">
        <v>0.55946892499923695</v>
      </c>
      <c r="N31" s="9">
        <v>0.54989302158355702</v>
      </c>
      <c r="O31" s="9">
        <v>0.56965643167495705</v>
      </c>
      <c r="P31" s="9">
        <v>0.570115625858306</v>
      </c>
      <c r="Q31" s="9">
        <v>0.57295823097229004</v>
      </c>
      <c r="R31" s="15">
        <f t="shared" si="4"/>
        <v>0.56441844701766941</v>
      </c>
      <c r="S31" s="15">
        <f t="shared" si="5"/>
        <v>9.5956760087119557E-3</v>
      </c>
      <c r="T31" s="15"/>
      <c r="U31" s="15"/>
      <c r="W31" s="20">
        <v>0.75</v>
      </c>
      <c r="X31" s="20">
        <f>AVERAGE(R62:R64)</f>
        <v>0.54034851789474436</v>
      </c>
      <c r="Y31" s="20">
        <f>AVERAGE(S62:S64)</f>
        <v>3.9579506401683756E-2</v>
      </c>
    </row>
    <row r="32" spans="2:25" x14ac:dyDescent="0.2">
      <c r="K32" s="13" t="s">
        <v>33</v>
      </c>
      <c r="L32" s="9" t="s">
        <v>394</v>
      </c>
      <c r="M32" s="9">
        <v>0.58820676803588801</v>
      </c>
      <c r="N32" s="9">
        <v>0.48271247744560197</v>
      </c>
      <c r="O32" s="9">
        <v>0.54720985889434803</v>
      </c>
      <c r="P32" s="9">
        <v>0.55400580167770297</v>
      </c>
      <c r="Q32" s="9">
        <v>0.52698951959609897</v>
      </c>
      <c r="R32" s="15">
        <f t="shared" si="4"/>
        <v>0.53982488512992799</v>
      </c>
      <c r="S32" s="15">
        <f t="shared" si="5"/>
        <v>3.8804047936554967E-2</v>
      </c>
      <c r="T32" s="15"/>
      <c r="U32" s="17"/>
      <c r="W32" s="20">
        <v>0.8</v>
      </c>
      <c r="X32" s="20">
        <f>AVERAGE(R65:R67)</f>
        <v>0.4586262921492254</v>
      </c>
      <c r="Y32" s="20">
        <f>AVERAGE(S65:S67)</f>
        <v>3.9374638160678752E-2</v>
      </c>
    </row>
    <row r="33" spans="11:25" x14ac:dyDescent="0.2">
      <c r="K33" s="13" t="s">
        <v>34</v>
      </c>
      <c r="L33" s="9" t="s">
        <v>101</v>
      </c>
      <c r="M33" s="9">
        <v>0.50586944818496704</v>
      </c>
      <c r="N33" s="9">
        <v>0.491262257099151</v>
      </c>
      <c r="O33" s="9">
        <v>0.52656459808349598</v>
      </c>
      <c r="P33" s="9">
        <v>0.50548356771469105</v>
      </c>
      <c r="Q33" s="9">
        <v>0.52875566482543901</v>
      </c>
      <c r="R33" s="15">
        <f t="shared" si="4"/>
        <v>0.51158710718154876</v>
      </c>
      <c r="S33" s="15">
        <f t="shared" si="5"/>
        <v>1.5828210216146676E-2</v>
      </c>
      <c r="T33" s="15"/>
      <c r="U33" s="17"/>
      <c r="W33" s="20">
        <v>0.85</v>
      </c>
      <c r="X33" s="20">
        <f>AVERAGE(R68:R70)</f>
        <v>0.38522486289342189</v>
      </c>
      <c r="Y33" s="20">
        <f>AVERAGE(S68:S70)</f>
        <v>4.3431603361755201E-2</v>
      </c>
    </row>
    <row r="34" spans="11:25" x14ac:dyDescent="0.2">
      <c r="K34" s="13" t="s">
        <v>35</v>
      </c>
      <c r="L34" s="9" t="s">
        <v>345</v>
      </c>
      <c r="M34" s="9">
        <v>0.62031990289688099</v>
      </c>
      <c r="N34" s="9">
        <v>0.60068696737289395</v>
      </c>
      <c r="O34" s="9">
        <v>0.58231365680694502</v>
      </c>
      <c r="P34" s="9">
        <v>0.54764717817306496</v>
      </c>
      <c r="Q34" s="9">
        <v>0.61778223514556796</v>
      </c>
      <c r="R34" s="15">
        <f t="shared" si="4"/>
        <v>0.59374998807907053</v>
      </c>
      <c r="S34" s="15">
        <f t="shared" si="5"/>
        <v>2.9949497944076184E-2</v>
      </c>
      <c r="T34" s="15"/>
      <c r="U34" s="15"/>
      <c r="W34" s="20">
        <v>0.9</v>
      </c>
      <c r="X34" s="20">
        <f>AVERAGE(R71:R73)</f>
        <v>0.34065843621889697</v>
      </c>
      <c r="Y34" s="20">
        <f>AVERAGE(S71:S73)</f>
        <v>6.2171987747174438E-2</v>
      </c>
    </row>
    <row r="35" spans="11:25" x14ac:dyDescent="0.2">
      <c r="K35" s="13" t="s">
        <v>36</v>
      </c>
      <c r="L35" s="9" t="s">
        <v>395</v>
      </c>
      <c r="M35" s="9">
        <v>0.563171446323394</v>
      </c>
      <c r="N35" s="9">
        <v>0.52763885259628296</v>
      </c>
      <c r="O35" s="9">
        <v>0.52769112586975098</v>
      </c>
      <c r="P35" s="9">
        <v>0.50066286325454701</v>
      </c>
      <c r="Q35" s="9">
        <v>0.556377112865448</v>
      </c>
      <c r="R35" s="15">
        <f t="shared" si="4"/>
        <v>0.53510828018188461</v>
      </c>
      <c r="S35" s="15">
        <f t="shared" si="5"/>
        <v>2.5185302318277012E-2</v>
      </c>
      <c r="T35" s="15"/>
      <c r="U35" s="15"/>
      <c r="W35" s="20">
        <v>0.95</v>
      </c>
      <c r="X35" s="20">
        <f>AVERAGE(R74:R76)</f>
        <v>0.39419752756754517</v>
      </c>
      <c r="Y35" s="20">
        <f>AVERAGE(S74:S76)</f>
        <v>2.6365669383791882E-2</v>
      </c>
    </row>
    <row r="36" spans="11:25" x14ac:dyDescent="0.2">
      <c r="K36" s="13" t="s">
        <v>37</v>
      </c>
      <c r="L36" s="9" t="s">
        <v>231</v>
      </c>
      <c r="M36" s="9">
        <v>0.51461875438690097</v>
      </c>
      <c r="N36" s="9">
        <v>0.53040587902069003</v>
      </c>
      <c r="O36" s="9">
        <v>0.52899658679962103</v>
      </c>
      <c r="P36" s="9">
        <v>0.45074164867401101</v>
      </c>
      <c r="Q36" s="9">
        <v>0.48841527104377702</v>
      </c>
      <c r="R36" s="15">
        <f t="shared" si="4"/>
        <v>0.50263562798499994</v>
      </c>
      <c r="S36" s="15">
        <f t="shared" si="5"/>
        <v>3.3559223586223159E-2</v>
      </c>
      <c r="T36" s="15"/>
      <c r="U36" s="15"/>
      <c r="W36" s="20">
        <v>1</v>
      </c>
      <c r="X36" s="20">
        <f>AVERAGE(R77:R79)</f>
        <v>0.36743485132853149</v>
      </c>
      <c r="Y36" s="20">
        <f>AVERAGE(S77:S79)</f>
        <v>4.6137463378568555E-2</v>
      </c>
    </row>
    <row r="37" spans="11:25" x14ac:dyDescent="0.2">
      <c r="K37" s="13" t="s">
        <v>38</v>
      </c>
      <c r="L37" s="9" t="s">
        <v>396</v>
      </c>
      <c r="M37" s="9">
        <v>0.59330785274505604</v>
      </c>
      <c r="N37" s="9">
        <v>0.48355430364608698</v>
      </c>
      <c r="O37" s="9">
        <v>0.57653409242630005</v>
      </c>
      <c r="P37" s="9">
        <v>0.59093183279037398</v>
      </c>
      <c r="Q37" s="9">
        <v>0.52287286520004195</v>
      </c>
      <c r="R37" s="15">
        <f t="shared" si="4"/>
        <v>0.55344018936157169</v>
      </c>
      <c r="S37" s="15">
        <f t="shared" si="5"/>
        <v>4.8339374732323998E-2</v>
      </c>
      <c r="T37" s="15"/>
      <c r="U37" s="15"/>
    </row>
    <row r="38" spans="11:25" x14ac:dyDescent="0.2">
      <c r="K38" s="13" t="s">
        <v>39</v>
      </c>
      <c r="L38" s="9" t="s">
        <v>397</v>
      </c>
      <c r="M38" s="9">
        <v>0.48630580306053101</v>
      </c>
      <c r="N38" s="9">
        <v>0.46804305911064098</v>
      </c>
      <c r="O38" s="9">
        <v>0.46014472842216397</v>
      </c>
      <c r="P38" s="9">
        <v>0.39471644163131703</v>
      </c>
      <c r="Q38" s="9">
        <v>0.45489066839218101</v>
      </c>
      <c r="R38" s="15">
        <f t="shared" si="4"/>
        <v>0.4528201401233668</v>
      </c>
      <c r="S38" s="15">
        <f t="shared" si="5"/>
        <v>3.4594086721390506E-2</v>
      </c>
      <c r="T38" s="15"/>
      <c r="U38" s="15"/>
      <c r="V38" s="28"/>
    </row>
    <row r="39" spans="11:25" x14ac:dyDescent="0.2">
      <c r="K39" s="13" t="s">
        <v>40</v>
      </c>
      <c r="L39" s="9" t="s">
        <v>319</v>
      </c>
      <c r="M39" s="9">
        <v>0.46718087792396501</v>
      </c>
      <c r="N39" s="9">
        <v>0.493155658245086</v>
      </c>
      <c r="O39" s="9">
        <v>0.50981301069259599</v>
      </c>
      <c r="P39" s="9">
        <v>0.42296847701072599</v>
      </c>
      <c r="Q39" s="9">
        <v>0.452133178710937</v>
      </c>
      <c r="R39" s="15">
        <f t="shared" si="4"/>
        <v>0.469050240516662</v>
      </c>
      <c r="S39" s="15">
        <f t="shared" si="5"/>
        <v>3.4117022953126137E-2</v>
      </c>
      <c r="T39" s="15"/>
      <c r="U39" s="15"/>
    </row>
    <row r="40" spans="11:25" x14ac:dyDescent="0.2">
      <c r="K40" s="13" t="s">
        <v>41</v>
      </c>
      <c r="L40" s="9" t="s">
        <v>398</v>
      </c>
      <c r="M40" s="9">
        <v>0.57850146293640103</v>
      </c>
      <c r="N40" s="9">
        <v>0.63374876976013095</v>
      </c>
      <c r="O40" s="9">
        <v>0.52812117338180498</v>
      </c>
      <c r="P40" s="9">
        <v>0.52505654096603305</v>
      </c>
      <c r="Q40" s="9">
        <v>0.62246209383010798</v>
      </c>
      <c r="R40" s="15">
        <f t="shared" si="4"/>
        <v>0.57757800817489557</v>
      </c>
      <c r="S40" s="15">
        <f t="shared" si="5"/>
        <v>5.0929047203901776E-2</v>
      </c>
      <c r="T40" s="15"/>
      <c r="U40" s="15"/>
    </row>
    <row r="41" spans="11:25" x14ac:dyDescent="0.2">
      <c r="K41" s="13" t="s">
        <v>42</v>
      </c>
      <c r="L41" s="9" t="s">
        <v>399</v>
      </c>
      <c r="M41" s="9">
        <v>0.58507317304611195</v>
      </c>
      <c r="N41" s="9">
        <v>0.660528123378753</v>
      </c>
      <c r="O41" s="9">
        <v>0.47507375478744501</v>
      </c>
      <c r="P41" s="9">
        <v>0.66387313604354803</v>
      </c>
      <c r="Q41" s="9">
        <v>0.63806921243667603</v>
      </c>
      <c r="R41" s="15">
        <f t="shared" si="4"/>
        <v>0.60452347993850686</v>
      </c>
      <c r="S41" s="15">
        <f t="shared" si="5"/>
        <v>7.8929974843826592E-2</v>
      </c>
      <c r="T41" s="15"/>
      <c r="U41" s="17"/>
    </row>
    <row r="42" spans="11:25" x14ac:dyDescent="0.2">
      <c r="K42" s="13" t="s">
        <v>43</v>
      </c>
      <c r="L42" s="9" t="s">
        <v>400</v>
      </c>
      <c r="M42" s="9">
        <v>0.50257116556167603</v>
      </c>
      <c r="N42" s="9">
        <v>0.53552621603011996</v>
      </c>
      <c r="O42" s="9">
        <v>0.55411791801452603</v>
      </c>
      <c r="P42" s="9">
        <v>0.50658333301544101</v>
      </c>
      <c r="Q42" s="9">
        <v>0.52229028940200795</v>
      </c>
      <c r="R42" s="15">
        <f t="shared" si="4"/>
        <v>0.52421778440475419</v>
      </c>
      <c r="S42" s="15">
        <f t="shared" si="5"/>
        <v>2.1243609838213402E-2</v>
      </c>
      <c r="T42" s="15"/>
      <c r="U42" s="17"/>
    </row>
    <row r="43" spans="11:25" x14ac:dyDescent="0.2">
      <c r="K43" s="13" t="s">
        <v>44</v>
      </c>
      <c r="L43" s="9" t="s">
        <v>401</v>
      </c>
      <c r="M43" s="9">
        <v>0.52186769247054998</v>
      </c>
      <c r="N43" s="9">
        <v>0.51632446050643899</v>
      </c>
      <c r="O43" s="9">
        <v>0.528569936752319</v>
      </c>
      <c r="P43" s="9">
        <v>0.45667669177055298</v>
      </c>
      <c r="Q43" s="9">
        <v>0.45017477869987399</v>
      </c>
      <c r="R43" s="15">
        <f t="shared" si="4"/>
        <v>0.494722712039947</v>
      </c>
      <c r="S43" s="15">
        <f t="shared" si="5"/>
        <v>3.8016898030112684E-2</v>
      </c>
      <c r="T43" s="15"/>
      <c r="U43" s="17"/>
    </row>
    <row r="44" spans="11:25" x14ac:dyDescent="0.2">
      <c r="K44" s="13" t="s">
        <v>45</v>
      </c>
      <c r="L44" s="9" t="s">
        <v>402</v>
      </c>
      <c r="M44" s="9">
        <v>0.48964285850524902</v>
      </c>
      <c r="N44" s="9">
        <v>0.63996458053588801</v>
      </c>
      <c r="O44" s="9">
        <v>0.48442426323890603</v>
      </c>
      <c r="P44" s="9">
        <v>0.56026208400726296</v>
      </c>
      <c r="Q44" s="9">
        <v>0.31120687723159701</v>
      </c>
      <c r="R44" s="15">
        <f t="shared" si="4"/>
        <v>0.49710013270378062</v>
      </c>
      <c r="S44" s="15">
        <f t="shared" si="5"/>
        <v>0.1216267585505405</v>
      </c>
      <c r="T44" s="15"/>
      <c r="U44" s="15"/>
    </row>
    <row r="45" spans="11:25" x14ac:dyDescent="0.2">
      <c r="K45" s="13" t="s">
        <v>46</v>
      </c>
      <c r="L45" s="9" t="s">
        <v>325</v>
      </c>
      <c r="M45" s="9">
        <v>0.57196933031082098</v>
      </c>
      <c r="N45" s="9">
        <v>0.58061301708221402</v>
      </c>
      <c r="O45" s="9">
        <v>0.54553961753845204</v>
      </c>
      <c r="P45" s="9">
        <v>0.58399337530136097</v>
      </c>
      <c r="Q45" s="9">
        <v>0.63094979524612405</v>
      </c>
      <c r="R45" s="15">
        <f t="shared" si="4"/>
        <v>0.58261302709579454</v>
      </c>
      <c r="S45" s="15">
        <f t="shared" si="5"/>
        <v>3.0943797980769315E-2</v>
      </c>
      <c r="T45" s="15"/>
      <c r="U45" s="15"/>
    </row>
    <row r="46" spans="11:25" x14ac:dyDescent="0.2">
      <c r="K46" s="13" t="s">
        <v>47</v>
      </c>
      <c r="L46" s="9" t="s">
        <v>114</v>
      </c>
      <c r="M46" s="9">
        <v>0.60351538658142001</v>
      </c>
      <c r="N46" s="9">
        <v>0.58781099319457997</v>
      </c>
      <c r="O46" s="9">
        <v>0.61015659570693903</v>
      </c>
      <c r="P46" s="9">
        <v>0.58306384086608798</v>
      </c>
      <c r="Q46" s="9">
        <v>0.57609313726425104</v>
      </c>
      <c r="R46" s="15">
        <f t="shared" si="4"/>
        <v>0.59212799072265554</v>
      </c>
      <c r="S46" s="15">
        <f t="shared" si="5"/>
        <v>1.4253203042086441E-2</v>
      </c>
      <c r="T46" s="15"/>
      <c r="U46" s="15"/>
    </row>
    <row r="47" spans="11:25" x14ac:dyDescent="0.2">
      <c r="K47" s="13" t="s">
        <v>48</v>
      </c>
      <c r="L47" s="9" t="s">
        <v>377</v>
      </c>
      <c r="M47" s="9">
        <v>0.44382521510124201</v>
      </c>
      <c r="N47" s="9">
        <v>0.44633370637893599</v>
      </c>
      <c r="O47" s="9">
        <v>0.49051508307456898</v>
      </c>
      <c r="P47" s="9">
        <v>0.49671575427055298</v>
      </c>
      <c r="Q47" s="9">
        <v>0.49671575427055298</v>
      </c>
      <c r="R47" s="15">
        <f t="shared" si="4"/>
        <v>0.4748211026191706</v>
      </c>
      <c r="S47" s="15">
        <f t="shared" si="5"/>
        <v>2.7282454764818193E-2</v>
      </c>
      <c r="T47" s="15"/>
      <c r="U47" s="15"/>
    </row>
    <row r="48" spans="11:25" x14ac:dyDescent="0.2">
      <c r="K48" s="13" t="s">
        <v>49</v>
      </c>
      <c r="L48" s="9" t="s">
        <v>325</v>
      </c>
      <c r="M48" s="9">
        <v>0.43431970477104098</v>
      </c>
      <c r="N48" s="9">
        <v>0.419423878192901</v>
      </c>
      <c r="O48" s="9">
        <v>0.58183413743972701</v>
      </c>
      <c r="P48" s="9">
        <v>0.42358863353729198</v>
      </c>
      <c r="Q48" s="9">
        <v>0.43094933032989502</v>
      </c>
      <c r="R48" s="15">
        <f t="shared" si="4"/>
        <v>0.45802313685417123</v>
      </c>
      <c r="S48" s="15">
        <f t="shared" si="5"/>
        <v>6.9461581730676167E-2</v>
      </c>
      <c r="T48" s="15"/>
      <c r="U48" s="15"/>
    </row>
    <row r="49" spans="11:21" x14ac:dyDescent="0.2">
      <c r="K49" s="13" t="s">
        <v>50</v>
      </c>
      <c r="L49" s="9" t="s">
        <v>113</v>
      </c>
      <c r="M49" s="9">
        <v>0.526877760887146</v>
      </c>
      <c r="N49" s="9">
        <v>0.54677659273147505</v>
      </c>
      <c r="O49" s="9">
        <v>0.560990691184997</v>
      </c>
      <c r="P49" s="9">
        <v>0.53721851110458296</v>
      </c>
      <c r="Q49" s="9">
        <v>0.47981336712837203</v>
      </c>
      <c r="R49" s="15">
        <f t="shared" si="4"/>
        <v>0.53033538460731466</v>
      </c>
      <c r="S49" s="15">
        <f t="shared" si="5"/>
        <v>3.0910629192334095E-2</v>
      </c>
      <c r="T49" s="15"/>
      <c r="U49" s="15"/>
    </row>
    <row r="50" spans="11:21" x14ac:dyDescent="0.2">
      <c r="K50" s="13" t="s">
        <v>51</v>
      </c>
      <c r="L50" s="9" t="s">
        <v>119</v>
      </c>
      <c r="M50" s="9">
        <v>0.450150907039642</v>
      </c>
      <c r="N50" s="9">
        <v>0.435373574495315</v>
      </c>
      <c r="O50" s="9">
        <v>0.421177357435226</v>
      </c>
      <c r="P50" s="9">
        <v>0.483047425746917</v>
      </c>
      <c r="Q50" s="9">
        <v>0.398565024137496</v>
      </c>
      <c r="R50" s="15">
        <f t="shared" si="4"/>
        <v>0.43766285777091918</v>
      </c>
      <c r="S50" s="15">
        <f t="shared" si="5"/>
        <v>3.1707110870303819E-2</v>
      </c>
      <c r="T50" s="15"/>
      <c r="U50" s="15"/>
    </row>
    <row r="51" spans="11:21" x14ac:dyDescent="0.2">
      <c r="K51" s="13" t="s">
        <v>52</v>
      </c>
      <c r="L51" s="9" t="s">
        <v>327</v>
      </c>
      <c r="M51" s="9">
        <v>0.53995347023010198</v>
      </c>
      <c r="N51" s="9">
        <v>0.50560438632964999</v>
      </c>
      <c r="O51" s="9">
        <v>0.58775800466537398</v>
      </c>
      <c r="P51" s="9">
        <v>0.44483375549316401</v>
      </c>
      <c r="Q51" s="9">
        <v>0.58094799518585205</v>
      </c>
      <c r="R51" s="15">
        <f t="shared" si="4"/>
        <v>0.53181952238082841</v>
      </c>
      <c r="S51" s="15">
        <f t="shared" si="5"/>
        <v>5.8869853803292127E-2</v>
      </c>
      <c r="T51" s="9"/>
      <c r="U51" s="15"/>
    </row>
    <row r="52" spans="11:21" x14ac:dyDescent="0.2">
      <c r="K52" s="13" t="s">
        <v>53</v>
      </c>
      <c r="L52" s="9" t="s">
        <v>186</v>
      </c>
      <c r="M52" s="9">
        <v>0.66082078218460005</v>
      </c>
      <c r="N52" s="9">
        <v>0.61465072631835904</v>
      </c>
      <c r="O52" s="9">
        <v>0.57515954971313399</v>
      </c>
      <c r="P52" s="9">
        <v>0.58238750696182195</v>
      </c>
      <c r="Q52" s="9">
        <v>0.62468957901000899</v>
      </c>
      <c r="R52" s="15">
        <f t="shared" si="4"/>
        <v>0.61154162883758478</v>
      </c>
      <c r="S52" s="15">
        <f t="shared" si="5"/>
        <v>3.45853601226183E-2</v>
      </c>
      <c r="T52" s="15" t="s">
        <v>200</v>
      </c>
      <c r="U52" s="15"/>
    </row>
    <row r="53" spans="11:21" x14ac:dyDescent="0.2">
      <c r="K53" s="13" t="s">
        <v>54</v>
      </c>
      <c r="L53" s="9" t="s">
        <v>353</v>
      </c>
      <c r="M53" s="9">
        <v>0.41601797938346802</v>
      </c>
      <c r="N53" s="9">
        <v>0.41940400004386902</v>
      </c>
      <c r="O53" s="9">
        <v>0.38081306219100902</v>
      </c>
      <c r="P53" s="9">
        <v>0.37046006321906999</v>
      </c>
      <c r="Q53" s="9">
        <v>0.409601360559463</v>
      </c>
      <c r="R53" s="15">
        <f t="shared" si="4"/>
        <v>0.3992592930793758</v>
      </c>
      <c r="S53" s="15">
        <f t="shared" si="5"/>
        <v>2.215445902984664E-2</v>
      </c>
      <c r="T53" s="17" t="s">
        <v>202</v>
      </c>
      <c r="U53" s="15"/>
    </row>
    <row r="54" spans="11:21" x14ac:dyDescent="0.2">
      <c r="K54" s="13" t="s">
        <v>55</v>
      </c>
      <c r="L54" s="9" t="s">
        <v>403</v>
      </c>
      <c r="M54" s="9">
        <v>0.50793117284774703</v>
      </c>
      <c r="N54" s="9">
        <v>0.49052166938781699</v>
      </c>
      <c r="O54" s="9">
        <v>0.51740419864654497</v>
      </c>
      <c r="P54" s="9">
        <v>0.46793463826179499</v>
      </c>
      <c r="Q54" s="9">
        <v>0.47834831476211498</v>
      </c>
      <c r="R54" s="15">
        <f t="shared" si="4"/>
        <v>0.4924279987812038</v>
      </c>
      <c r="S54" s="15">
        <f t="shared" si="5"/>
        <v>2.0408057656341384E-2</v>
      </c>
      <c r="T54" s="15"/>
      <c r="U54" s="15"/>
    </row>
    <row r="55" spans="11:21" x14ac:dyDescent="0.2">
      <c r="K55" s="13" t="s">
        <v>56</v>
      </c>
      <c r="L55" s="9" t="s">
        <v>404</v>
      </c>
      <c r="M55" s="9">
        <v>0.62076050043106001</v>
      </c>
      <c r="N55" s="9">
        <v>0.72380417585372903</v>
      </c>
      <c r="O55" s="9">
        <v>0.49803453683853099</v>
      </c>
      <c r="P55" s="9">
        <v>0.30931937694549499</v>
      </c>
      <c r="Q55" s="9">
        <v>0.46229222416877702</v>
      </c>
      <c r="R55" s="15">
        <f t="shared" si="4"/>
        <v>0.5228421628475185</v>
      </c>
      <c r="S55" s="15">
        <f t="shared" si="5"/>
        <v>0.15799321582602438</v>
      </c>
      <c r="T55" s="15"/>
      <c r="U55" s="15"/>
    </row>
    <row r="56" spans="11:21" x14ac:dyDescent="0.2">
      <c r="K56" s="13" t="s">
        <v>57</v>
      </c>
      <c r="L56" s="9" t="s">
        <v>188</v>
      </c>
      <c r="M56" s="9">
        <v>0.38524398207664401</v>
      </c>
      <c r="N56" s="9">
        <v>0.37552911043167098</v>
      </c>
      <c r="O56" s="9">
        <v>0.44830977916717502</v>
      </c>
      <c r="P56" s="9">
        <v>0.34714871644973699</v>
      </c>
      <c r="Q56" s="9">
        <v>0.40013229846954301</v>
      </c>
      <c r="R56" s="15">
        <f t="shared" si="4"/>
        <v>0.39127277731895405</v>
      </c>
      <c r="S56" s="15">
        <f t="shared" si="5"/>
        <v>3.7292267501365148E-2</v>
      </c>
      <c r="T56" s="15"/>
      <c r="U56" s="15"/>
    </row>
    <row r="57" spans="11:21" x14ac:dyDescent="0.2">
      <c r="K57" s="13" t="s">
        <v>58</v>
      </c>
      <c r="L57" s="9" t="s">
        <v>121</v>
      </c>
      <c r="M57" s="9">
        <v>0.58898210525512695</v>
      </c>
      <c r="N57" s="9">
        <v>0.59521144628524703</v>
      </c>
      <c r="O57" s="9">
        <v>0.57175558805465698</v>
      </c>
      <c r="P57" s="9">
        <v>0.55532234907150202</v>
      </c>
      <c r="Q57" s="9">
        <v>0.50958836078643799</v>
      </c>
      <c r="R57" s="15">
        <f t="shared" si="4"/>
        <v>0.56417196989059415</v>
      </c>
      <c r="S57" s="15">
        <f t="shared" si="5"/>
        <v>3.4257077179744869E-2</v>
      </c>
      <c r="T57" s="15"/>
      <c r="U57" s="15"/>
    </row>
    <row r="58" spans="11:21" x14ac:dyDescent="0.2">
      <c r="K58" s="13" t="s">
        <v>59</v>
      </c>
      <c r="L58" s="9" t="s">
        <v>122</v>
      </c>
      <c r="M58" s="9">
        <v>0.44945704936981201</v>
      </c>
      <c r="N58" s="9">
        <v>0.42727416753768899</v>
      </c>
      <c r="O58" s="9">
        <v>0.44550487399101202</v>
      </c>
      <c r="P58" s="9">
        <v>0.43309092521667403</v>
      </c>
      <c r="Q58" s="9">
        <v>0.43921202421188299</v>
      </c>
      <c r="R58" s="15">
        <f t="shared" si="4"/>
        <v>0.43890780806541396</v>
      </c>
      <c r="S58" s="15">
        <f t="shared" si="5"/>
        <v>9.0010837735403724E-3</v>
      </c>
      <c r="T58" s="15"/>
      <c r="U58" s="15"/>
    </row>
    <row r="59" spans="11:21" x14ac:dyDescent="0.2">
      <c r="K59" s="13" t="s">
        <v>60</v>
      </c>
      <c r="L59" s="9" t="s">
        <v>127</v>
      </c>
      <c r="M59" s="9">
        <v>0.46578484773635798</v>
      </c>
      <c r="N59" s="9">
        <v>0.42969134449958801</v>
      </c>
      <c r="O59" s="9">
        <v>0.39844647049903797</v>
      </c>
      <c r="P59" s="9">
        <v>0.437896788120269</v>
      </c>
      <c r="Q59" s="9">
        <v>0.42507347464561401</v>
      </c>
      <c r="R59" s="15">
        <f t="shared" si="4"/>
        <v>0.43137858510017341</v>
      </c>
      <c r="S59" s="15">
        <f t="shared" si="5"/>
        <v>2.4255943859145479E-2</v>
      </c>
      <c r="T59" s="17"/>
      <c r="U59" s="15"/>
    </row>
    <row r="60" spans="11:21" x14ac:dyDescent="0.2">
      <c r="K60" s="13" t="s">
        <v>61</v>
      </c>
      <c r="L60" s="9" t="s">
        <v>239</v>
      </c>
      <c r="M60" s="9">
        <v>0.52205473184585505</v>
      </c>
      <c r="N60" s="9">
        <v>0.43538948893547003</v>
      </c>
      <c r="O60" s="9">
        <v>0.47633597254753102</v>
      </c>
      <c r="P60" s="9">
        <v>0.428387701511383</v>
      </c>
      <c r="Q60" s="9">
        <v>0.40778949856758101</v>
      </c>
      <c r="R60" s="15">
        <f t="shared" si="4"/>
        <v>0.45399147868156409</v>
      </c>
      <c r="S60" s="15">
        <f t="shared" si="5"/>
        <v>4.5464528018499102E-2</v>
      </c>
      <c r="T60" s="15"/>
      <c r="U60" s="15"/>
    </row>
    <row r="61" spans="11:21" x14ac:dyDescent="0.2">
      <c r="K61" s="13" t="s">
        <v>62</v>
      </c>
      <c r="L61" s="9" t="s">
        <v>330</v>
      </c>
      <c r="M61" s="9">
        <v>0.55825543403625399</v>
      </c>
      <c r="N61" s="9">
        <v>0.543903708457946</v>
      </c>
      <c r="O61" s="9">
        <v>0.53566288948059004</v>
      </c>
      <c r="P61" s="9">
        <v>0.61340248584747303</v>
      </c>
      <c r="Q61" s="9">
        <v>0.542175233364105</v>
      </c>
      <c r="R61" s="15">
        <f t="shared" si="4"/>
        <v>0.55867995023727368</v>
      </c>
      <c r="S61" s="15">
        <f t="shared" si="5"/>
        <v>3.1683056211782738E-2</v>
      </c>
      <c r="T61" s="15"/>
      <c r="U61" s="15"/>
    </row>
    <row r="62" spans="11:21" x14ac:dyDescent="0.2">
      <c r="K62" s="13" t="s">
        <v>63</v>
      </c>
      <c r="L62" s="9" t="s">
        <v>126</v>
      </c>
      <c r="M62" s="9">
        <v>0.59357440471649103</v>
      </c>
      <c r="N62" s="9">
        <v>0.57817751169204701</v>
      </c>
      <c r="O62" s="9">
        <v>0.58506464958190896</v>
      </c>
      <c r="P62" s="9">
        <v>0.58765721321105902</v>
      </c>
      <c r="Q62" s="9">
        <v>0.583043813705444</v>
      </c>
      <c r="R62" s="15">
        <f t="shared" si="4"/>
        <v>0.58550351858138994</v>
      </c>
      <c r="S62" s="15">
        <f t="shared" si="5"/>
        <v>5.6940919948177482E-3</v>
      </c>
      <c r="T62" s="15"/>
      <c r="U62" s="17"/>
    </row>
    <row r="63" spans="11:21" x14ac:dyDescent="0.2">
      <c r="K63" s="13" t="s">
        <v>64</v>
      </c>
      <c r="L63" s="9" t="s">
        <v>330</v>
      </c>
      <c r="M63" s="9">
        <v>0.48969426751136702</v>
      </c>
      <c r="N63" s="9">
        <v>0.445030838251113</v>
      </c>
      <c r="O63" s="9">
        <v>0.36900791525840698</v>
      </c>
      <c r="P63" s="9">
        <v>0.43666520714759799</v>
      </c>
      <c r="Q63" s="9">
        <v>0.47030866146087602</v>
      </c>
      <c r="R63" s="15">
        <f t="shared" si="4"/>
        <v>0.44214137792587227</v>
      </c>
      <c r="S63" s="15">
        <f t="shared" si="5"/>
        <v>4.5938855990242763E-2</v>
      </c>
      <c r="T63" s="15"/>
      <c r="U63" s="15"/>
    </row>
    <row r="64" spans="11:21" x14ac:dyDescent="0.2">
      <c r="K64" s="13" t="s">
        <v>65</v>
      </c>
      <c r="L64" s="9" t="s">
        <v>330</v>
      </c>
      <c r="M64" s="9">
        <v>0.52073925733566195</v>
      </c>
      <c r="N64" s="9">
        <v>0.57191646099090498</v>
      </c>
      <c r="O64" s="9">
        <v>0.55476194620132402</v>
      </c>
      <c r="P64" s="9">
        <v>0.62846714258193903</v>
      </c>
      <c r="Q64" s="9">
        <v>0.69111847877502397</v>
      </c>
      <c r="R64" s="15">
        <f t="shared" si="4"/>
        <v>0.59340065717697077</v>
      </c>
      <c r="S64" s="15">
        <f t="shared" si="5"/>
        <v>6.7105571219990751E-2</v>
      </c>
      <c r="T64" s="9" t="s">
        <v>381</v>
      </c>
      <c r="U64" s="15"/>
    </row>
    <row r="65" spans="11:21" x14ac:dyDescent="0.2">
      <c r="K65" s="13" t="s">
        <v>66</v>
      </c>
      <c r="L65" s="9" t="s">
        <v>405</v>
      </c>
      <c r="M65" s="9">
        <v>0.39587745070457397</v>
      </c>
      <c r="N65" s="9">
        <v>0.405224829912185</v>
      </c>
      <c r="O65" s="9">
        <v>0.42447090148925698</v>
      </c>
      <c r="P65" s="9">
        <v>0.42749118804931602</v>
      </c>
      <c r="Q65" s="9">
        <v>0.40059524774551297</v>
      </c>
      <c r="R65" s="15">
        <f t="shared" si="4"/>
        <v>0.41073192358016897</v>
      </c>
      <c r="S65" s="15">
        <f t="shared" si="5"/>
        <v>1.4347195732876324E-2</v>
      </c>
      <c r="T65" s="15"/>
      <c r="U65" s="15"/>
    </row>
    <row r="66" spans="11:21" x14ac:dyDescent="0.2">
      <c r="K66" s="13" t="s">
        <v>67</v>
      </c>
      <c r="L66" s="9" t="s">
        <v>378</v>
      </c>
      <c r="M66" s="9">
        <v>0.49241626262664701</v>
      </c>
      <c r="N66" s="9">
        <v>0.47823336720466603</v>
      </c>
      <c r="O66" s="9">
        <v>0.35683420300483698</v>
      </c>
      <c r="P66" s="9">
        <v>0.53321576118469205</v>
      </c>
      <c r="Q66" s="9">
        <v>0.44538509845733598</v>
      </c>
      <c r="R66" s="15">
        <f t="shared" si="4"/>
        <v>0.46121693849563561</v>
      </c>
      <c r="S66" s="15">
        <f t="shared" si="5"/>
        <v>6.6319661052345297E-2</v>
      </c>
      <c r="T66" s="15"/>
      <c r="U66" s="15"/>
    </row>
    <row r="67" spans="11:21" x14ac:dyDescent="0.2">
      <c r="K67" s="13" t="s">
        <v>68</v>
      </c>
      <c r="L67" s="9" t="s">
        <v>406</v>
      </c>
      <c r="M67" s="9">
        <v>0.520693659782409</v>
      </c>
      <c r="N67" s="9">
        <v>0.52206051349639804</v>
      </c>
      <c r="O67" s="9">
        <v>0.53733092546463002</v>
      </c>
      <c r="P67" s="9">
        <v>0.44190183281898499</v>
      </c>
      <c r="Q67" s="9">
        <v>0.49766314029693598</v>
      </c>
      <c r="R67" s="15">
        <f t="shared" si="4"/>
        <v>0.50393001437187157</v>
      </c>
      <c r="S67" s="15">
        <f t="shared" si="5"/>
        <v>3.7457057696814636E-2</v>
      </c>
      <c r="T67" s="15"/>
      <c r="U67" s="15"/>
    </row>
    <row r="68" spans="11:21" x14ac:dyDescent="0.2">
      <c r="K68" s="13" t="s">
        <v>69</v>
      </c>
      <c r="L68" s="9" t="s">
        <v>407</v>
      </c>
      <c r="M68" s="9">
        <v>0.36556437611579801</v>
      </c>
      <c r="N68" s="9">
        <v>0.46033942699432301</v>
      </c>
      <c r="O68" s="9">
        <v>0.530026495456695</v>
      </c>
      <c r="P68" s="9">
        <v>0.44691359996795599</v>
      </c>
      <c r="Q68" s="9">
        <v>0.40987649559974598</v>
      </c>
      <c r="R68" s="15">
        <f t="shared" si="4"/>
        <v>0.44254407882690361</v>
      </c>
      <c r="S68" s="15">
        <f t="shared" si="5"/>
        <v>6.1200461546837545E-2</v>
      </c>
      <c r="T68" s="15"/>
      <c r="U68" s="15"/>
    </row>
    <row r="69" spans="11:21" x14ac:dyDescent="0.2">
      <c r="K69" s="13" t="s">
        <v>70</v>
      </c>
      <c r="L69" s="9" t="s">
        <v>408</v>
      </c>
      <c r="M69" s="9">
        <v>0.27597001194953902</v>
      </c>
      <c r="N69" s="9">
        <v>0.34966930747032099</v>
      </c>
      <c r="O69" s="9">
        <v>0.32612434029579102</v>
      </c>
      <c r="P69" s="9">
        <v>0.384259283542633</v>
      </c>
      <c r="Q69" s="9">
        <v>0.31082451343536299</v>
      </c>
      <c r="R69" s="15">
        <f t="shared" si="4"/>
        <v>0.32936949133872939</v>
      </c>
      <c r="S69" s="15">
        <f t="shared" si="5"/>
        <v>4.0715241104924339E-2</v>
      </c>
      <c r="T69" s="17"/>
      <c r="U69" s="15"/>
    </row>
    <row r="70" spans="11:21" x14ac:dyDescent="0.2">
      <c r="K70" s="13" t="s">
        <v>71</v>
      </c>
      <c r="L70" s="9" t="s">
        <v>407</v>
      </c>
      <c r="M70" s="9">
        <v>0.37012785673141402</v>
      </c>
      <c r="N70" s="9">
        <v>0.34867724776268</v>
      </c>
      <c r="O70" s="9">
        <v>0.42418426275253202</v>
      </c>
      <c r="P70" s="9">
        <v>0.37965166568756098</v>
      </c>
      <c r="Q70" s="9">
        <v>0.396164059638977</v>
      </c>
      <c r="R70" s="15">
        <f t="shared" si="4"/>
        <v>0.38376101851463285</v>
      </c>
      <c r="S70" s="15">
        <f t="shared" si="5"/>
        <v>2.837910743350372E-2</v>
      </c>
      <c r="T70" s="15"/>
      <c r="U70" s="15"/>
    </row>
    <row r="71" spans="11:21" x14ac:dyDescent="0.2">
      <c r="K71" s="13" t="s">
        <v>72</v>
      </c>
      <c r="L71" s="9" t="s">
        <v>131</v>
      </c>
      <c r="M71" s="9">
        <v>0.20740740001201599</v>
      </c>
      <c r="N71" s="9">
        <v>0.33395060896873402</v>
      </c>
      <c r="O71" s="9">
        <v>0.27901232242584201</v>
      </c>
      <c r="P71" s="9">
        <v>0.30679011344909601</v>
      </c>
      <c r="Q71" s="9">
        <v>0.34259259700775102</v>
      </c>
      <c r="R71" s="15">
        <f t="shared" si="4"/>
        <v>0.29395060837268783</v>
      </c>
      <c r="S71" s="15">
        <f t="shared" si="5"/>
        <v>5.4414555261099222E-2</v>
      </c>
      <c r="T71" s="15"/>
      <c r="U71" s="15"/>
    </row>
    <row r="72" spans="11:21" x14ac:dyDescent="0.2">
      <c r="K72" s="13" t="s">
        <v>73</v>
      </c>
      <c r="L72" s="9" t="s">
        <v>131</v>
      </c>
      <c r="M72" s="9">
        <v>0.36728394031524603</v>
      </c>
      <c r="N72" s="9">
        <v>0.39074072241783098</v>
      </c>
      <c r="O72" s="9">
        <v>0.36358025670051503</v>
      </c>
      <c r="P72" s="9">
        <v>0.42283949255943298</v>
      </c>
      <c r="Q72" s="9">
        <v>0.39814814925193698</v>
      </c>
      <c r="R72" s="15">
        <f t="shared" si="4"/>
        <v>0.38851851224899236</v>
      </c>
      <c r="S72" s="15">
        <f t="shared" si="5"/>
        <v>2.4230257176324144E-2</v>
      </c>
      <c r="T72" s="15"/>
      <c r="U72" s="15"/>
    </row>
    <row r="73" spans="11:21" x14ac:dyDescent="0.2">
      <c r="K73" s="13" t="s">
        <v>74</v>
      </c>
      <c r="L73" s="9" t="s">
        <v>356</v>
      </c>
      <c r="M73" s="9">
        <v>0.45864203572273199</v>
      </c>
      <c r="N73" s="9">
        <v>0.18456791341304701</v>
      </c>
      <c r="O73" s="9">
        <v>0.30185183882713301</v>
      </c>
      <c r="P73" s="9">
        <v>0.33024695515632602</v>
      </c>
      <c r="Q73" s="9">
        <v>0.42222219705581598</v>
      </c>
      <c r="R73" s="15">
        <f t="shared" si="4"/>
        <v>0.33950618803501081</v>
      </c>
      <c r="S73" s="15">
        <f t="shared" si="5"/>
        <v>0.10787115080409992</v>
      </c>
      <c r="T73" s="15"/>
      <c r="U73" s="15"/>
    </row>
    <row r="74" spans="11:21" x14ac:dyDescent="0.2">
      <c r="K74" s="13" t="s">
        <v>75</v>
      </c>
      <c r="L74" s="9" t="s">
        <v>197</v>
      </c>
      <c r="M74" s="9">
        <v>0.45226338505744901</v>
      </c>
      <c r="N74" s="9">
        <v>0.40864196419715798</v>
      </c>
      <c r="O74" s="9">
        <v>0.48395067453384399</v>
      </c>
      <c r="P74" s="9">
        <v>0.41995882987976002</v>
      </c>
      <c r="Q74" s="9">
        <v>0.45123454928398099</v>
      </c>
      <c r="R74" s="15">
        <f t="shared" si="4"/>
        <v>0.44320988059043842</v>
      </c>
      <c r="S74" s="15">
        <f t="shared" si="5"/>
        <v>2.9756199962519155E-2</v>
      </c>
      <c r="T74" s="15"/>
      <c r="U74" s="15"/>
    </row>
    <row r="75" spans="11:21" x14ac:dyDescent="0.2">
      <c r="K75" s="13" t="s">
        <v>76</v>
      </c>
      <c r="L75" s="9" t="s">
        <v>133</v>
      </c>
      <c r="M75" s="9">
        <v>0.32314813137054399</v>
      </c>
      <c r="N75" s="9">
        <v>0.325514405965805</v>
      </c>
      <c r="O75" s="9">
        <v>0.38837444782257002</v>
      </c>
      <c r="P75" s="9">
        <v>0.34434154629707298</v>
      </c>
      <c r="Q75" s="9">
        <v>0.38034975528717002</v>
      </c>
      <c r="R75" s="15">
        <f t="shared" si="4"/>
        <v>0.35234565734863238</v>
      </c>
      <c r="S75" s="15">
        <f t="shared" si="5"/>
        <v>3.0490902791248348E-2</v>
      </c>
      <c r="T75" s="15"/>
      <c r="U75" s="15"/>
    </row>
    <row r="76" spans="11:21" x14ac:dyDescent="0.2">
      <c r="K76" s="13" t="s">
        <v>77</v>
      </c>
      <c r="L76" s="9" t="s">
        <v>246</v>
      </c>
      <c r="M76" s="9">
        <v>0.40740743279456998</v>
      </c>
      <c r="N76" s="9">
        <v>0.38580247759818997</v>
      </c>
      <c r="O76" s="9">
        <v>0.37345680594444203</v>
      </c>
      <c r="P76" s="9">
        <v>0.36419755220413202</v>
      </c>
      <c r="Q76" s="9">
        <v>0.40432095527648898</v>
      </c>
      <c r="R76" s="15">
        <f t="shared" si="4"/>
        <v>0.3870370447635646</v>
      </c>
      <c r="S76" s="15">
        <f t="shared" si="5"/>
        <v>1.8849905397608141E-2</v>
      </c>
      <c r="T76" s="15"/>
      <c r="U76" s="15"/>
    </row>
    <row r="77" spans="11:21" x14ac:dyDescent="0.2">
      <c r="K77" s="13" t="s">
        <v>78</v>
      </c>
      <c r="L77" s="9" t="s">
        <v>197</v>
      </c>
      <c r="M77" s="9">
        <v>0.38621404767036399</v>
      </c>
      <c r="N77" s="9">
        <v>0.38775718212127602</v>
      </c>
      <c r="O77" s="9">
        <v>0.34331277012825001</v>
      </c>
      <c r="P77" s="9">
        <v>0.40895062685012801</v>
      </c>
      <c r="Q77" s="9">
        <v>0.33775722980499201</v>
      </c>
      <c r="R77" s="15">
        <f t="shared" si="4"/>
        <v>0.37279837131500199</v>
      </c>
      <c r="S77" s="15">
        <f t="shared" si="5"/>
        <v>3.0854554966631361E-2</v>
      </c>
      <c r="T77" s="15"/>
      <c r="U77" s="15"/>
    </row>
    <row r="78" spans="11:21" x14ac:dyDescent="0.2">
      <c r="K78" s="13" t="s">
        <v>79</v>
      </c>
      <c r="L78" s="9" t="s">
        <v>138</v>
      </c>
      <c r="M78" s="9">
        <v>0.33281892538070601</v>
      </c>
      <c r="N78" s="9">
        <v>0.33580246567726102</v>
      </c>
      <c r="O78" s="9">
        <v>0.33991771936416598</v>
      </c>
      <c r="P78" s="9">
        <v>0.35555556416511502</v>
      </c>
      <c r="Q78" s="9">
        <v>0.45967078208923301</v>
      </c>
      <c r="R78" s="15">
        <f t="shared" si="4"/>
        <v>0.36475309133529621</v>
      </c>
      <c r="S78" s="15">
        <f t="shared" si="5"/>
        <v>5.377891758453715E-2</v>
      </c>
      <c r="T78" s="15"/>
      <c r="U78" s="15"/>
    </row>
    <row r="79" spans="11:21" x14ac:dyDescent="0.2">
      <c r="K79" s="13" t="s">
        <v>80</v>
      </c>
      <c r="L79" s="9" t="s">
        <v>138</v>
      </c>
      <c r="M79" s="9">
        <v>0.33281892538070601</v>
      </c>
      <c r="N79" s="9">
        <v>0.33580246567726102</v>
      </c>
      <c r="O79" s="9">
        <v>0.33991771936416598</v>
      </c>
      <c r="P79" s="9">
        <v>0.35555556416511502</v>
      </c>
      <c r="Q79" s="9">
        <v>0.45967078208923301</v>
      </c>
      <c r="R79" s="15">
        <f t="shared" si="4"/>
        <v>0.36475309133529621</v>
      </c>
      <c r="S79" s="15">
        <f t="shared" si="5"/>
        <v>5.377891758453715E-2</v>
      </c>
      <c r="T79" s="15"/>
      <c r="U79" s="15"/>
    </row>
    <row r="80" spans="11:21" x14ac:dyDescent="0.2">
      <c r="K80" s="15"/>
      <c r="L80" s="17"/>
      <c r="M80" s="15"/>
      <c r="N80" s="15"/>
      <c r="O80" s="15"/>
      <c r="P80" s="15"/>
      <c r="Q80" s="15"/>
      <c r="R80" s="15"/>
      <c r="S80" s="15"/>
      <c r="T80" s="15"/>
      <c r="U80" s="1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0C791-F865-A944-8C79-C9DE962ADB9F}">
  <dimension ref="B2:Y80"/>
  <sheetViews>
    <sheetView topLeftCell="L8" workbookViewId="0">
      <selection activeCell="P32" sqref="P32"/>
    </sheetView>
  </sheetViews>
  <sheetFormatPr baseColWidth="10" defaultRowHeight="16" x14ac:dyDescent="0.2"/>
  <cols>
    <col min="1" max="1" width="10.83203125" style="20"/>
    <col min="2" max="2" width="11" style="20" customWidth="1"/>
    <col min="3" max="11" width="10.83203125" style="20"/>
    <col min="12" max="12" width="17" style="20" customWidth="1"/>
    <col min="13" max="16384" width="10.83203125" style="20"/>
  </cols>
  <sheetData>
    <row r="2" spans="2:25" x14ac:dyDescent="0.2">
      <c r="B2" s="18" t="s">
        <v>14</v>
      </c>
      <c r="C2" s="19"/>
      <c r="D2" s="19"/>
      <c r="E2" s="19"/>
      <c r="F2" s="19"/>
      <c r="G2" s="19"/>
      <c r="H2" s="19"/>
      <c r="I2" s="19"/>
      <c r="K2" s="21" t="s">
        <v>15</v>
      </c>
      <c r="L2" s="22"/>
      <c r="M2" s="22"/>
      <c r="N2" s="22"/>
      <c r="O2" s="22"/>
      <c r="P2" s="22"/>
      <c r="Q2" s="22"/>
      <c r="R2" s="22"/>
    </row>
    <row r="3" spans="2:25" x14ac:dyDescent="0.2">
      <c r="B3" s="18" t="s">
        <v>5</v>
      </c>
      <c r="C3" s="18" t="s">
        <v>6</v>
      </c>
      <c r="D3" s="18" t="s">
        <v>7</v>
      </c>
      <c r="E3" s="18" t="s">
        <v>8</v>
      </c>
      <c r="F3" s="18" t="s">
        <v>9</v>
      </c>
      <c r="G3" s="18" t="s">
        <v>10</v>
      </c>
      <c r="H3" s="19"/>
      <c r="I3" s="19"/>
      <c r="K3" s="21" t="s">
        <v>5</v>
      </c>
      <c r="L3" s="21" t="s">
        <v>6</v>
      </c>
      <c r="M3" s="21" t="s">
        <v>7</v>
      </c>
      <c r="N3" s="21" t="s">
        <v>8</v>
      </c>
      <c r="O3" s="21" t="s">
        <v>9</v>
      </c>
      <c r="P3" s="21" t="s">
        <v>10</v>
      </c>
      <c r="Q3" s="24"/>
      <c r="R3" s="22"/>
    </row>
    <row r="4" spans="2:25" x14ac:dyDescent="0.2">
      <c r="B4" s="18" t="s">
        <v>0</v>
      </c>
      <c r="C4" s="23">
        <v>0.82649207115173295</v>
      </c>
      <c r="D4" s="23">
        <v>0.84693568944930997</v>
      </c>
      <c r="E4" s="23">
        <v>0.83881694078445401</v>
      </c>
      <c r="F4" s="23">
        <v>0.84348827600479104</v>
      </c>
      <c r="G4" s="23">
        <v>0.83606863021850497</v>
      </c>
      <c r="H4" s="23"/>
      <c r="I4" s="19"/>
      <c r="K4" s="21" t="s">
        <v>0</v>
      </c>
      <c r="L4" s="24">
        <v>0.75980907678604104</v>
      </c>
      <c r="M4" s="24">
        <v>0.77089387178420998</v>
      </c>
      <c r="N4" s="24">
        <v>0.75872230529785101</v>
      </c>
      <c r="O4" s="24">
        <v>0.74727946519851596</v>
      </c>
      <c r="P4" s="24">
        <v>0.77779549360275202</v>
      </c>
      <c r="Q4" s="22"/>
      <c r="R4" s="24"/>
    </row>
    <row r="5" spans="2:25" x14ac:dyDescent="0.2">
      <c r="B5" s="18" t="s">
        <v>1</v>
      </c>
      <c r="C5" s="23">
        <v>0.81955045461654596</v>
      </c>
      <c r="D5" s="23">
        <v>0.84919279813766402</v>
      </c>
      <c r="E5" s="23">
        <v>0.83765238523483199</v>
      </c>
      <c r="F5" s="23">
        <v>0.83710700273513705</v>
      </c>
      <c r="G5" s="23">
        <v>0.81885474920272805</v>
      </c>
      <c r="H5" s="19"/>
      <c r="I5" s="19"/>
      <c r="K5" s="21" t="s">
        <v>1</v>
      </c>
      <c r="L5" s="24">
        <v>0.746454417705535</v>
      </c>
      <c r="M5" s="24">
        <v>0.74854284524917603</v>
      </c>
      <c r="N5" s="24">
        <v>0.74538969993591297</v>
      </c>
      <c r="O5" s="24">
        <v>0.76595896482467596</v>
      </c>
      <c r="P5" s="24">
        <v>0.74632143974304199</v>
      </c>
      <c r="Q5" s="22"/>
      <c r="R5" s="22"/>
    </row>
    <row r="6" spans="2:25" x14ac:dyDescent="0.2">
      <c r="B6" s="18" t="s">
        <v>2</v>
      </c>
      <c r="C6" s="23">
        <v>0.82075673341751099</v>
      </c>
      <c r="D6" s="23">
        <v>0.83811074495315496</v>
      </c>
      <c r="E6" s="23">
        <v>0.84483981132507302</v>
      </c>
      <c r="F6" s="23">
        <v>0.847098648548126</v>
      </c>
      <c r="G6" s="23">
        <v>0.82876467704772905</v>
      </c>
      <c r="H6" s="19"/>
      <c r="I6" s="19"/>
      <c r="K6" s="21" t="s">
        <v>2</v>
      </c>
      <c r="L6" s="24">
        <v>0.75524377822875899</v>
      </c>
      <c r="M6" s="24">
        <v>0.75014179944991999</v>
      </c>
      <c r="N6" s="24">
        <v>0.759784936904907</v>
      </c>
      <c r="O6" s="24">
        <v>0.76286053657531705</v>
      </c>
      <c r="P6" s="24">
        <v>0.759907007217407</v>
      </c>
      <c r="Q6" s="22"/>
      <c r="R6" s="22"/>
    </row>
    <row r="7" spans="2:25" x14ac:dyDescent="0.2">
      <c r="B7" s="18" t="s">
        <v>3</v>
      </c>
      <c r="C7" s="23">
        <v>0.83845514059066695</v>
      </c>
      <c r="D7" s="23">
        <v>0.84188938140869096</v>
      </c>
      <c r="E7" s="23">
        <v>0.83596152067184404</v>
      </c>
      <c r="F7" s="23">
        <v>0.84515815973281805</v>
      </c>
      <c r="G7" s="23">
        <v>0.83798909187316895</v>
      </c>
      <c r="H7" s="19"/>
      <c r="I7" s="19"/>
      <c r="K7" s="21" t="s">
        <v>3</v>
      </c>
      <c r="L7" s="24">
        <v>0.765736103057861</v>
      </c>
      <c r="M7" s="24">
        <v>0.75203257799148504</v>
      </c>
      <c r="N7" s="24">
        <v>0.74033528566360396</v>
      </c>
      <c r="O7" s="24">
        <v>0.766407251358032</v>
      </c>
      <c r="P7" s="24">
        <v>0.75684624910354603</v>
      </c>
      <c r="Q7" s="22"/>
      <c r="R7" s="22"/>
    </row>
    <row r="8" spans="2:25" x14ac:dyDescent="0.2">
      <c r="B8" s="18" t="s">
        <v>4</v>
      </c>
      <c r="C8" s="23">
        <v>0.83205294609069802</v>
      </c>
      <c r="D8" s="23">
        <v>0.83148020505905096</v>
      </c>
      <c r="E8" s="23">
        <v>0.81985688209533603</v>
      </c>
      <c r="F8" s="23">
        <v>0.85555362701416005</v>
      </c>
      <c r="G8" s="23">
        <v>0.82291722297668402</v>
      </c>
      <c r="H8" s="19"/>
      <c r="I8" s="19"/>
      <c r="K8" s="21" t="s">
        <v>4</v>
      </c>
      <c r="L8" s="24">
        <v>0.76424407958984297</v>
      </c>
      <c r="M8" s="24">
        <v>0.761247158050537</v>
      </c>
      <c r="N8" s="24">
        <v>0.75970607995986905</v>
      </c>
      <c r="O8" s="24">
        <v>0.77155327796936002</v>
      </c>
      <c r="P8" s="24">
        <v>0.76227045059204102</v>
      </c>
      <c r="Q8" s="22"/>
      <c r="R8" s="22"/>
    </row>
    <row r="9" spans="2:25" x14ac:dyDescent="0.2">
      <c r="B9" s="18" t="s">
        <v>11</v>
      </c>
      <c r="C9" s="19">
        <f>AVERAGE(C4:C7)</f>
        <v>0.82631359994411424</v>
      </c>
      <c r="D9" s="19">
        <f t="shared" ref="D9:G9" si="0">AVERAGE(D4:D8)</f>
        <v>0.84152176380157417</v>
      </c>
      <c r="E9" s="19">
        <f t="shared" si="0"/>
        <v>0.83542550802230786</v>
      </c>
      <c r="F9" s="19">
        <f t="shared" si="0"/>
        <v>0.84568114280700646</v>
      </c>
      <c r="G9" s="19">
        <f t="shared" si="0"/>
        <v>0.82891887426376287</v>
      </c>
      <c r="H9" s="18" t="s">
        <v>13</v>
      </c>
      <c r="I9" s="18">
        <f>AVERAGE(C4:G8)</f>
        <v>0.83580175161361669</v>
      </c>
      <c r="K9" s="21" t="s">
        <v>11</v>
      </c>
      <c r="L9" s="22">
        <f>AVERAGE(L4:L8)</f>
        <v>0.75829749107360778</v>
      </c>
      <c r="M9" s="22">
        <f t="shared" ref="M9:P9" si="1">AVERAGE(M4:M8)</f>
        <v>0.7565716505050657</v>
      </c>
      <c r="N9" s="22">
        <f t="shared" si="1"/>
        <v>0.75278766155242871</v>
      </c>
      <c r="O9" s="22">
        <f t="shared" si="1"/>
        <v>0.76281189918518022</v>
      </c>
      <c r="P9" s="22">
        <f t="shared" si="1"/>
        <v>0.76062812805175761</v>
      </c>
      <c r="Q9" s="21" t="s">
        <v>13</v>
      </c>
      <c r="R9" s="21">
        <f>AVERAGE(L4:P8)</f>
        <v>0.75821936607360807</v>
      </c>
    </row>
    <row r="10" spans="2:25" x14ac:dyDescent="0.2">
      <c r="B10" s="18" t="s">
        <v>12</v>
      </c>
      <c r="C10" s="19">
        <f>STDEV(C4:C7)</f>
        <v>8.6422944785153888E-3</v>
      </c>
      <c r="D10" s="19">
        <f t="shared" ref="D10:G10" si="2">STDEV(D4:D8)</f>
        <v>7.0844628055618765E-3</v>
      </c>
      <c r="E10" s="19">
        <f t="shared" si="2"/>
        <v>9.3241531490896659E-3</v>
      </c>
      <c r="F10" s="19">
        <f t="shared" si="2"/>
        <v>6.6722058014345338E-3</v>
      </c>
      <c r="G10" s="19">
        <f t="shared" si="2"/>
        <v>8.2267561330640407E-3</v>
      </c>
      <c r="H10" s="18" t="s">
        <v>12</v>
      </c>
      <c r="I10" s="18">
        <f>STDEV(C4:G8)</f>
        <v>1.01749547678829E-2</v>
      </c>
      <c r="K10" s="21" t="s">
        <v>12</v>
      </c>
      <c r="L10" s="22">
        <f>STDEV(L4:L8)</f>
        <v>7.7872219619720198E-3</v>
      </c>
      <c r="M10" s="22">
        <f t="shared" ref="M10:P10" si="3">STDEV(M4:M8)</f>
        <v>9.3993918804414663E-3</v>
      </c>
      <c r="N10" s="22">
        <f t="shared" si="3"/>
        <v>9.2444290434822649E-3</v>
      </c>
      <c r="O10" s="22">
        <f t="shared" si="3"/>
        <v>9.2263366725428442E-3</v>
      </c>
      <c r="P10" s="22">
        <f t="shared" si="3"/>
        <v>1.1367933159629249E-2</v>
      </c>
      <c r="Q10" s="21" t="s">
        <v>12</v>
      </c>
      <c r="R10" s="21">
        <f>STDEV(L4:P8)</f>
        <v>9.3336445911118351E-3</v>
      </c>
    </row>
    <row r="11" spans="2:25" x14ac:dyDescent="0.2">
      <c r="B11" s="19"/>
      <c r="C11" s="19"/>
      <c r="D11" s="19"/>
      <c r="E11" s="19"/>
      <c r="F11" s="19"/>
      <c r="G11" s="19"/>
      <c r="H11" s="19"/>
      <c r="I11" s="19"/>
      <c r="K11" s="22"/>
      <c r="L11" s="22"/>
      <c r="M11" s="22"/>
      <c r="N11" s="22"/>
      <c r="O11" s="22"/>
      <c r="P11" s="22"/>
      <c r="Q11" s="22"/>
      <c r="R11" s="22"/>
    </row>
    <row r="15" spans="2:25" x14ac:dyDescent="0.2">
      <c r="B15" s="25" t="s">
        <v>16</v>
      </c>
      <c r="C15" s="26"/>
      <c r="D15" s="26"/>
      <c r="E15" s="26"/>
      <c r="F15" s="26"/>
      <c r="G15" s="26"/>
      <c r="H15" s="26"/>
      <c r="I15" s="26"/>
      <c r="K15" s="13" t="s">
        <v>17</v>
      </c>
      <c r="L15" s="13"/>
      <c r="M15" s="15"/>
      <c r="N15" s="15"/>
      <c r="O15" s="15"/>
      <c r="P15" s="15"/>
      <c r="Q15" s="15"/>
      <c r="R15" s="15"/>
      <c r="S15" s="15"/>
      <c r="T15" s="15"/>
      <c r="U15" s="15"/>
      <c r="W15" s="20" t="s">
        <v>291</v>
      </c>
      <c r="X15" s="20" t="s">
        <v>5</v>
      </c>
      <c r="Y15" s="20" t="s">
        <v>12</v>
      </c>
    </row>
    <row r="16" spans="2:25" x14ac:dyDescent="0.2">
      <c r="B16" s="25" t="s">
        <v>5</v>
      </c>
      <c r="C16" s="25" t="s">
        <v>6</v>
      </c>
      <c r="D16" s="25" t="s">
        <v>7</v>
      </c>
      <c r="E16" s="25" t="s">
        <v>8</v>
      </c>
      <c r="F16" s="25" t="s">
        <v>9</v>
      </c>
      <c r="G16" s="25" t="s">
        <v>10</v>
      </c>
      <c r="H16" s="26"/>
      <c r="I16" s="26"/>
      <c r="K16" s="13" t="s">
        <v>5</v>
      </c>
      <c r="L16" s="13" t="s">
        <v>83</v>
      </c>
      <c r="M16" s="13" t="s">
        <v>0</v>
      </c>
      <c r="N16" s="13" t="s">
        <v>1</v>
      </c>
      <c r="O16" s="13" t="s">
        <v>2</v>
      </c>
      <c r="P16" s="13" t="s">
        <v>3</v>
      </c>
      <c r="Q16" s="13" t="s">
        <v>4</v>
      </c>
      <c r="R16" s="13" t="s">
        <v>11</v>
      </c>
      <c r="S16" s="13" t="s">
        <v>12</v>
      </c>
      <c r="T16" s="15"/>
      <c r="U16" s="15"/>
      <c r="W16" s="20">
        <v>0</v>
      </c>
      <c r="X16" s="20" t="e">
        <f>AVERAGE(R17:R19)</f>
        <v>#DIV/0!</v>
      </c>
      <c r="Y16" s="20" t="e">
        <f>AVERAGE(S17:S19)</f>
        <v>#DIV/0!</v>
      </c>
    </row>
    <row r="17" spans="2:25" x14ac:dyDescent="0.2">
      <c r="B17" s="25" t="s">
        <v>0</v>
      </c>
      <c r="C17" s="27">
        <v>0.76720529794692904</v>
      </c>
      <c r="D17" s="27">
        <v>0.75835484266281095</v>
      </c>
      <c r="E17" s="27">
        <v>0.74294668436050404</v>
      </c>
      <c r="F17" s="27">
        <v>0.73770517110824496</v>
      </c>
      <c r="G17" s="27">
        <v>0.73557299375534002</v>
      </c>
      <c r="H17" s="27"/>
      <c r="I17" s="27"/>
      <c r="K17" s="13" t="s">
        <v>18</v>
      </c>
      <c r="L17" s="9" t="s">
        <v>410</v>
      </c>
      <c r="M17" s="9">
        <v>0.82880431413650502</v>
      </c>
      <c r="N17" s="9">
        <v>0.82497096061706499</v>
      </c>
      <c r="O17" s="9">
        <v>0.83557373285293501</v>
      </c>
      <c r="P17" s="9">
        <v>0.85138964653015103</v>
      </c>
      <c r="Q17" s="9">
        <v>0.84461420774459794</v>
      </c>
      <c r="R17" s="15">
        <f>AVERAGE(M17:Q17)</f>
        <v>0.83707057237625082</v>
      </c>
      <c r="S17" s="15">
        <f>STDEV(M17:Q17)</f>
        <v>1.0942057367826498E-2</v>
      </c>
      <c r="T17" s="15"/>
      <c r="U17" s="17"/>
      <c r="W17" s="20">
        <v>0.05</v>
      </c>
      <c r="X17" s="20" t="e">
        <f>AVERAGE(R20:R22)</f>
        <v>#DIV/0!</v>
      </c>
      <c r="Y17" s="20" t="e">
        <f>AVERAGE(S20:S22)</f>
        <v>#DIV/0!</v>
      </c>
    </row>
    <row r="18" spans="2:25" x14ac:dyDescent="0.2">
      <c r="B18" s="25" t="s">
        <v>1</v>
      </c>
      <c r="C18" s="27">
        <v>0.72511363029479903</v>
      </c>
      <c r="D18" s="27">
        <v>0.76779365539550704</v>
      </c>
      <c r="E18" s="27">
        <v>0.76969426870346003</v>
      </c>
      <c r="F18" s="27">
        <v>0.73537772893905595</v>
      </c>
      <c r="G18" s="27">
        <v>0.72497177124023404</v>
      </c>
      <c r="H18" s="26"/>
      <c r="I18" s="26"/>
      <c r="K18" s="13" t="s">
        <v>19</v>
      </c>
      <c r="L18" s="9" t="s">
        <v>410</v>
      </c>
      <c r="M18" s="9">
        <v>0.845805883407592</v>
      </c>
      <c r="N18" s="9">
        <v>0.84742528200149503</v>
      </c>
      <c r="O18" s="9">
        <v>0.86684769392013505</v>
      </c>
      <c r="P18" s="9">
        <v>0.85948139429092396</v>
      </c>
      <c r="Q18" s="9">
        <v>0.85217529535293501</v>
      </c>
      <c r="R18" s="15">
        <f t="shared" ref="R18:R79" si="4">AVERAGE(M18:Q18)</f>
        <v>0.85434710979461614</v>
      </c>
      <c r="S18" s="15">
        <f t="shared" ref="S18:S79" si="5">STDEV(M18:Q18)</f>
        <v>8.7779056005592593E-3</v>
      </c>
      <c r="T18" s="15"/>
      <c r="U18" s="15"/>
      <c r="W18" s="20">
        <v>0.1</v>
      </c>
      <c r="X18" s="20" t="e">
        <f>AVERAGE(R23:R25)</f>
        <v>#DIV/0!</v>
      </c>
      <c r="Y18" s="20" t="e">
        <f>AVERAGE(S23:S25)</f>
        <v>#DIV/0!</v>
      </c>
    </row>
    <row r="19" spans="2:25" x14ac:dyDescent="0.2">
      <c r="B19" s="25" t="s">
        <v>2</v>
      </c>
      <c r="C19" s="27">
        <v>0.77610945701599099</v>
      </c>
      <c r="D19" s="27">
        <v>0.75380516052246005</v>
      </c>
      <c r="E19" s="27">
        <v>0.69394665956497104</v>
      </c>
      <c r="F19" s="27">
        <v>0.74488586187362604</v>
      </c>
      <c r="G19" s="27">
        <v>0.75643903017044001</v>
      </c>
      <c r="H19" s="26"/>
      <c r="I19" s="26"/>
      <c r="K19" s="13" t="s">
        <v>20</v>
      </c>
      <c r="L19" s="17"/>
      <c r="M19" s="17"/>
      <c r="N19" s="17"/>
      <c r="O19" s="17"/>
      <c r="P19" s="17"/>
      <c r="Q19" s="17"/>
      <c r="R19" s="15" t="e">
        <f t="shared" si="4"/>
        <v>#DIV/0!</v>
      </c>
      <c r="S19" s="15" t="e">
        <f t="shared" si="5"/>
        <v>#DIV/0!</v>
      </c>
      <c r="T19" s="15"/>
      <c r="U19" s="15"/>
      <c r="W19" s="20">
        <v>0.15</v>
      </c>
      <c r="X19" s="20" t="e">
        <f>AVERAGE(R26:R28)</f>
        <v>#DIV/0!</v>
      </c>
      <c r="Y19" s="20" t="e">
        <f>AVERAGE(S26:S28)</f>
        <v>#DIV/0!</v>
      </c>
    </row>
    <row r="20" spans="2:25" x14ac:dyDescent="0.2">
      <c r="B20" s="25" t="s">
        <v>3</v>
      </c>
      <c r="C20" s="27">
        <v>0.76660937070846502</v>
      </c>
      <c r="D20" s="27">
        <v>0.78252142667770297</v>
      </c>
      <c r="E20" s="27">
        <v>0.71157342195510798</v>
      </c>
      <c r="F20" s="27">
        <v>0.71223759651184004</v>
      </c>
      <c r="G20" s="27">
        <v>0.73666065931320102</v>
      </c>
      <c r="H20" s="26"/>
      <c r="I20" s="26"/>
      <c r="K20" s="13" t="s">
        <v>21</v>
      </c>
      <c r="L20" s="9" t="s">
        <v>411</v>
      </c>
      <c r="M20" s="9">
        <v>0.73899227380752497</v>
      </c>
      <c r="N20" s="9">
        <v>0.75293570756912198</v>
      </c>
      <c r="O20" s="9">
        <v>0.77175897359848</v>
      </c>
      <c r="P20" s="9">
        <v>0.74400550127029397</v>
      </c>
      <c r="Q20" s="9">
        <v>0.74873226881027199</v>
      </c>
      <c r="R20" s="15">
        <f t="shared" si="4"/>
        <v>0.75128494501113874</v>
      </c>
      <c r="S20" s="15">
        <f t="shared" si="5"/>
        <v>1.2575045585412977E-2</v>
      </c>
      <c r="T20" s="15"/>
      <c r="U20" s="15"/>
      <c r="W20" s="20">
        <v>0.2</v>
      </c>
      <c r="X20" s="20" t="e">
        <f>AVERAGE(R29:R31)</f>
        <v>#DIV/0!</v>
      </c>
      <c r="Y20" s="20" t="e">
        <f>AVERAGE(S29:S31)</f>
        <v>#DIV/0!</v>
      </c>
    </row>
    <row r="21" spans="2:25" x14ac:dyDescent="0.2">
      <c r="B21" s="25" t="s">
        <v>4</v>
      </c>
      <c r="C21" s="27">
        <v>0.77015113830566395</v>
      </c>
      <c r="D21" s="27">
        <v>0.76352387666702204</v>
      </c>
      <c r="E21" s="27">
        <v>0.72891920804977395</v>
      </c>
      <c r="F21" s="27">
        <v>0.70111328363418501</v>
      </c>
      <c r="G21" s="27">
        <v>0.74191856384277299</v>
      </c>
      <c r="H21" s="26"/>
      <c r="I21" s="26"/>
      <c r="K21" s="13" t="s">
        <v>22</v>
      </c>
      <c r="L21" s="9" t="s">
        <v>412</v>
      </c>
      <c r="M21" s="9">
        <v>0.76511073112487704</v>
      </c>
      <c r="N21" s="9">
        <v>0.82746618986129705</v>
      </c>
      <c r="O21" s="9">
        <v>0.79028528928756703</v>
      </c>
      <c r="P21" s="9">
        <v>0.78999638557434004</v>
      </c>
      <c r="Q21" s="9">
        <v>0.79017585515975897</v>
      </c>
      <c r="R21" s="15">
        <f t="shared" si="4"/>
        <v>0.79260689020156805</v>
      </c>
      <c r="S21" s="15">
        <f t="shared" si="5"/>
        <v>2.2300919450353684E-2</v>
      </c>
      <c r="T21" s="15"/>
      <c r="U21" s="15"/>
      <c r="W21" s="20">
        <v>0.25</v>
      </c>
      <c r="X21" s="20" t="e">
        <f>AVERAGE(R32:R34)</f>
        <v>#DIV/0!</v>
      </c>
      <c r="Y21" s="20" t="e">
        <f>AVERAGE(S32:S34)</f>
        <v>#DIV/0!</v>
      </c>
    </row>
    <row r="22" spans="2:25" x14ac:dyDescent="0.2">
      <c r="B22" s="25" t="s">
        <v>11</v>
      </c>
      <c r="C22" s="26">
        <f>AVERAGE(C17:C21)</f>
        <v>0.76103777885436963</v>
      </c>
      <c r="D22" s="26">
        <f>AVERAGE(D17:D21)</f>
        <v>0.76519979238510061</v>
      </c>
      <c r="E22" s="26">
        <f t="shared" ref="E22:G22" si="6">AVERAGE(E17:E21)</f>
        <v>0.72941604852676334</v>
      </c>
      <c r="F22" s="26">
        <f t="shared" si="6"/>
        <v>0.72626392841339038</v>
      </c>
      <c r="G22" s="26">
        <f t="shared" si="6"/>
        <v>0.73911260366439757</v>
      </c>
      <c r="H22" s="25" t="s">
        <v>13</v>
      </c>
      <c r="I22" s="25">
        <f>AVERAGE(C17:G21)</f>
        <v>0.74420603036880462</v>
      </c>
      <c r="K22" s="13" t="s">
        <v>23</v>
      </c>
      <c r="L22" s="17"/>
      <c r="M22" s="17"/>
      <c r="N22" s="17"/>
      <c r="O22" s="17"/>
      <c r="P22" s="17"/>
      <c r="Q22" s="17"/>
      <c r="R22" s="15" t="e">
        <f t="shared" si="4"/>
        <v>#DIV/0!</v>
      </c>
      <c r="S22" s="15" t="e">
        <f t="shared" si="5"/>
        <v>#DIV/0!</v>
      </c>
      <c r="T22" s="15"/>
      <c r="U22" s="15"/>
      <c r="W22" s="20">
        <v>0.3</v>
      </c>
      <c r="X22" s="20" t="e">
        <f>AVERAGE(R35:R37)</f>
        <v>#DIV/0!</v>
      </c>
      <c r="Y22" s="20" t="e">
        <f>AVERAGE(S35:S37)</f>
        <v>#DIV/0!</v>
      </c>
    </row>
    <row r="23" spans="2:25" x14ac:dyDescent="0.2">
      <c r="B23" s="25" t="s">
        <v>12</v>
      </c>
      <c r="C23" s="26">
        <f>STDEV(C17:C21)</f>
        <v>2.0431802296737037E-2</v>
      </c>
      <c r="D23" s="26">
        <f>STDEV(D17:D21)</f>
        <v>1.1025729061645905E-2</v>
      </c>
      <c r="E23" s="26">
        <f t="shared" ref="E23:G23" si="7">STDEV(E17:E21)</f>
        <v>2.907789905334374E-2</v>
      </c>
      <c r="F23" s="26">
        <f t="shared" si="7"/>
        <v>1.8641571283316283E-2</v>
      </c>
      <c r="G23" s="26">
        <f t="shared" si="7"/>
        <v>1.1473692507752856E-2</v>
      </c>
      <c r="H23" s="25" t="s">
        <v>12</v>
      </c>
      <c r="I23" s="25">
        <f>STDEV(C17:G21)</f>
        <v>2.4072866768195776E-2</v>
      </c>
      <c r="K23" s="13" t="s">
        <v>24</v>
      </c>
      <c r="L23" s="17"/>
      <c r="M23" s="17"/>
      <c r="N23" s="17"/>
      <c r="O23" s="17"/>
      <c r="P23" s="17"/>
      <c r="Q23" s="17"/>
      <c r="R23" s="15" t="e">
        <f t="shared" si="4"/>
        <v>#DIV/0!</v>
      </c>
      <c r="S23" s="15" t="e">
        <f t="shared" si="5"/>
        <v>#DIV/0!</v>
      </c>
      <c r="T23" s="15"/>
      <c r="U23" s="15"/>
      <c r="W23" s="20">
        <v>0.35</v>
      </c>
      <c r="X23" s="20" t="e">
        <f>AVERAGE(R38:R40)</f>
        <v>#DIV/0!</v>
      </c>
      <c r="Y23" s="20" t="e">
        <f>AVERAGE(S38:S40)</f>
        <v>#DIV/0!</v>
      </c>
    </row>
    <row r="24" spans="2:25" x14ac:dyDescent="0.2">
      <c r="B24" s="26"/>
      <c r="C24" s="26"/>
      <c r="D24" s="26"/>
      <c r="E24" s="26"/>
      <c r="F24" s="26"/>
      <c r="G24" s="26"/>
      <c r="H24" s="26"/>
      <c r="I24" s="26"/>
      <c r="K24" s="13" t="s">
        <v>25</v>
      </c>
      <c r="L24" s="17"/>
      <c r="M24" s="17"/>
      <c r="N24" s="17"/>
      <c r="O24" s="17"/>
      <c r="P24" s="17"/>
      <c r="Q24" s="17"/>
      <c r="R24" s="15" t="e">
        <f t="shared" si="4"/>
        <v>#DIV/0!</v>
      </c>
      <c r="S24" s="15" t="e">
        <f t="shared" si="5"/>
        <v>#DIV/0!</v>
      </c>
      <c r="T24" s="15"/>
      <c r="U24" s="15"/>
      <c r="W24" s="20">
        <v>0.4</v>
      </c>
      <c r="X24" s="20" t="e">
        <f>AVERAGE(R42:R43)</f>
        <v>#DIV/0!</v>
      </c>
      <c r="Y24" s="20" t="e">
        <f>AVERAGE(S42:S43)</f>
        <v>#DIV/0!</v>
      </c>
    </row>
    <row r="25" spans="2:25" x14ac:dyDescent="0.2">
      <c r="B25" s="29"/>
      <c r="K25" s="13" t="s">
        <v>26</v>
      </c>
      <c r="L25" s="17"/>
      <c r="M25" s="17"/>
      <c r="N25" s="17"/>
      <c r="O25" s="17"/>
      <c r="P25" s="17"/>
      <c r="Q25" s="17"/>
      <c r="R25" s="15" t="e">
        <f t="shared" si="4"/>
        <v>#DIV/0!</v>
      </c>
      <c r="S25" s="15" t="e">
        <f t="shared" si="5"/>
        <v>#DIV/0!</v>
      </c>
      <c r="T25" s="15"/>
      <c r="U25" s="15"/>
      <c r="W25" s="20">
        <v>0.45</v>
      </c>
      <c r="X25" s="20" t="e">
        <f>AVERAGE(R44:R46)</f>
        <v>#DIV/0!</v>
      </c>
      <c r="Y25" s="20" t="e">
        <f>AVERAGE(S44:S46)</f>
        <v>#DIV/0!</v>
      </c>
    </row>
    <row r="26" spans="2:25" x14ac:dyDescent="0.2">
      <c r="B26" s="29"/>
      <c r="C26" s="29"/>
      <c r="D26" s="29"/>
      <c r="E26" s="29"/>
      <c r="F26" s="29"/>
      <c r="G26" s="29"/>
      <c r="H26" s="28"/>
      <c r="K26" s="13" t="s">
        <v>27</v>
      </c>
      <c r="L26" s="17"/>
      <c r="M26" s="17"/>
      <c r="N26" s="17"/>
      <c r="O26" s="17"/>
      <c r="P26" s="17"/>
      <c r="Q26" s="17"/>
      <c r="R26" s="15" t="e">
        <f t="shared" si="4"/>
        <v>#DIV/0!</v>
      </c>
      <c r="S26" s="15" t="e">
        <f t="shared" si="5"/>
        <v>#DIV/0!</v>
      </c>
      <c r="T26" s="15"/>
      <c r="U26" s="15"/>
      <c r="W26" s="20">
        <v>0.5</v>
      </c>
      <c r="X26" s="20" t="e">
        <f>AVERAGE(R47:R49)</f>
        <v>#DIV/0!</v>
      </c>
      <c r="Y26" s="20" t="e">
        <f>AVERAGE(S47:S49)</f>
        <v>#DIV/0!</v>
      </c>
    </row>
    <row r="27" spans="2:25" x14ac:dyDescent="0.2">
      <c r="B27" s="29"/>
      <c r="K27" s="13" t="s">
        <v>28</v>
      </c>
      <c r="L27" s="17"/>
      <c r="M27" s="17"/>
      <c r="N27" s="17"/>
      <c r="O27" s="17"/>
      <c r="P27" s="17"/>
      <c r="Q27" s="17"/>
      <c r="R27" s="15" t="e">
        <f t="shared" si="4"/>
        <v>#DIV/0!</v>
      </c>
      <c r="S27" s="15" t="e">
        <f t="shared" si="5"/>
        <v>#DIV/0!</v>
      </c>
      <c r="T27" s="15"/>
      <c r="U27" s="15"/>
      <c r="W27" s="20">
        <v>0.55000000000000004</v>
      </c>
      <c r="X27" s="20" t="e">
        <f>AVERAGE(R50:R52)</f>
        <v>#DIV/0!</v>
      </c>
      <c r="Y27" s="20" t="e">
        <f>AVERAGE(S50:S52)</f>
        <v>#DIV/0!</v>
      </c>
    </row>
    <row r="28" spans="2:25" x14ac:dyDescent="0.2">
      <c r="B28" s="29"/>
      <c r="K28" s="13" t="s">
        <v>29</v>
      </c>
      <c r="L28" s="17"/>
      <c r="M28" s="17"/>
      <c r="N28" s="17"/>
      <c r="O28" s="17"/>
      <c r="P28" s="17"/>
      <c r="Q28" s="17"/>
      <c r="R28" s="15" t="e">
        <f t="shared" si="4"/>
        <v>#DIV/0!</v>
      </c>
      <c r="S28" s="15" t="e">
        <f t="shared" si="5"/>
        <v>#DIV/0!</v>
      </c>
      <c r="T28" s="15"/>
      <c r="U28" s="15"/>
      <c r="W28" s="20">
        <v>0.6</v>
      </c>
      <c r="X28" s="20" t="e">
        <f>AVERAGE(R53:R55)</f>
        <v>#DIV/0!</v>
      </c>
      <c r="Y28" s="20" t="e">
        <f>AVERAGE(S53:S55)</f>
        <v>#DIV/0!</v>
      </c>
    </row>
    <row r="29" spans="2:25" x14ac:dyDescent="0.2">
      <c r="B29" s="29"/>
      <c r="K29" s="13" t="s">
        <v>30</v>
      </c>
      <c r="L29" s="17"/>
      <c r="M29" s="17"/>
      <c r="N29" s="17"/>
      <c r="O29" s="17"/>
      <c r="P29" s="17"/>
      <c r="Q29" s="17"/>
      <c r="R29" s="15" t="e">
        <f t="shared" si="4"/>
        <v>#DIV/0!</v>
      </c>
      <c r="S29" s="15" t="e">
        <f t="shared" si="5"/>
        <v>#DIV/0!</v>
      </c>
      <c r="T29" s="15"/>
      <c r="U29" s="15"/>
      <c r="W29" s="20">
        <v>0.65</v>
      </c>
      <c r="X29" s="20" t="e">
        <f>AVERAGE(R56:R58)</f>
        <v>#DIV/0!</v>
      </c>
      <c r="Y29" s="20" t="e">
        <f>AVERAGE(S56:S58)</f>
        <v>#DIV/0!</v>
      </c>
    </row>
    <row r="30" spans="2:25" x14ac:dyDescent="0.2">
      <c r="B30" s="29"/>
      <c r="K30" s="13" t="s">
        <v>31</v>
      </c>
      <c r="L30" s="17"/>
      <c r="M30" s="17"/>
      <c r="N30" s="17"/>
      <c r="O30" s="17"/>
      <c r="P30" s="17"/>
      <c r="Q30" s="17"/>
      <c r="R30" s="15" t="e">
        <f t="shared" si="4"/>
        <v>#DIV/0!</v>
      </c>
      <c r="S30" s="15" t="e">
        <f t="shared" si="5"/>
        <v>#DIV/0!</v>
      </c>
      <c r="T30" s="15"/>
      <c r="U30" s="15"/>
      <c r="W30" s="20">
        <v>0.7</v>
      </c>
      <c r="X30" s="20" t="e">
        <f>AVERAGE(R59:R61)</f>
        <v>#DIV/0!</v>
      </c>
      <c r="Y30" s="20" t="e">
        <f>AVERAGE(S59:S61)</f>
        <v>#DIV/0!</v>
      </c>
    </row>
    <row r="31" spans="2:25" x14ac:dyDescent="0.2">
      <c r="B31" s="29"/>
      <c r="K31" s="13" t="s">
        <v>32</v>
      </c>
      <c r="L31" s="17"/>
      <c r="M31" s="17"/>
      <c r="N31" s="17"/>
      <c r="O31" s="17"/>
      <c r="P31" s="17"/>
      <c r="Q31" s="17"/>
      <c r="R31" s="15" t="e">
        <f t="shared" si="4"/>
        <v>#DIV/0!</v>
      </c>
      <c r="S31" s="15" t="e">
        <f t="shared" si="5"/>
        <v>#DIV/0!</v>
      </c>
      <c r="T31" s="15"/>
      <c r="U31" s="15"/>
      <c r="W31" s="20">
        <v>0.75</v>
      </c>
      <c r="X31" s="20" t="e">
        <f>AVERAGE(R62:R64)</f>
        <v>#DIV/0!</v>
      </c>
      <c r="Y31" s="20" t="e">
        <f>AVERAGE(S62:S64)</f>
        <v>#DIV/0!</v>
      </c>
    </row>
    <row r="32" spans="2:25" x14ac:dyDescent="0.2">
      <c r="K32" s="13" t="s">
        <v>33</v>
      </c>
      <c r="L32" s="17"/>
      <c r="M32" s="17"/>
      <c r="N32" s="17"/>
      <c r="O32" s="17"/>
      <c r="P32" s="17"/>
      <c r="Q32" s="17"/>
      <c r="R32" s="15" t="e">
        <f t="shared" si="4"/>
        <v>#DIV/0!</v>
      </c>
      <c r="S32" s="15" t="e">
        <f t="shared" si="5"/>
        <v>#DIV/0!</v>
      </c>
      <c r="T32" s="9" t="s">
        <v>409</v>
      </c>
      <c r="U32" s="17"/>
      <c r="W32" s="20">
        <v>0.8</v>
      </c>
      <c r="X32" s="20" t="e">
        <f>AVERAGE(R65:R67)</f>
        <v>#DIV/0!</v>
      </c>
      <c r="Y32" s="20" t="e">
        <f>AVERAGE(S65:S67)</f>
        <v>#DIV/0!</v>
      </c>
    </row>
    <row r="33" spans="11:25" x14ac:dyDescent="0.2">
      <c r="K33" s="13" t="s">
        <v>34</v>
      </c>
      <c r="L33" s="17"/>
      <c r="M33" s="17"/>
      <c r="N33" s="17"/>
      <c r="O33" s="17"/>
      <c r="P33" s="17"/>
      <c r="Q33" s="17"/>
      <c r="R33" s="15" t="e">
        <f t="shared" si="4"/>
        <v>#DIV/0!</v>
      </c>
      <c r="S33" s="15" t="e">
        <f t="shared" si="5"/>
        <v>#DIV/0!</v>
      </c>
      <c r="T33" s="15"/>
      <c r="U33" s="17"/>
      <c r="W33" s="20">
        <v>0.85</v>
      </c>
      <c r="X33" s="20" t="e">
        <f>AVERAGE(R68:R70)</f>
        <v>#DIV/0!</v>
      </c>
      <c r="Y33" s="20" t="e">
        <f>AVERAGE(S68:S70)</f>
        <v>#DIV/0!</v>
      </c>
    </row>
    <row r="34" spans="11:25" x14ac:dyDescent="0.2">
      <c r="K34" s="13" t="s">
        <v>35</v>
      </c>
      <c r="L34" s="17"/>
      <c r="M34" s="17"/>
      <c r="N34" s="17"/>
      <c r="O34" s="17"/>
      <c r="P34" s="17"/>
      <c r="Q34" s="17"/>
      <c r="R34" s="15" t="e">
        <f t="shared" si="4"/>
        <v>#DIV/0!</v>
      </c>
      <c r="S34" s="15" t="e">
        <f t="shared" si="5"/>
        <v>#DIV/0!</v>
      </c>
      <c r="T34" s="15"/>
      <c r="U34" s="15"/>
      <c r="W34" s="20">
        <v>0.9</v>
      </c>
      <c r="X34" s="20" t="e">
        <f>AVERAGE(R71:R73)</f>
        <v>#DIV/0!</v>
      </c>
      <c r="Y34" s="20" t="e">
        <f>AVERAGE(S71:S73)</f>
        <v>#DIV/0!</v>
      </c>
    </row>
    <row r="35" spans="11:25" x14ac:dyDescent="0.2">
      <c r="K35" s="13" t="s">
        <v>36</v>
      </c>
      <c r="L35" s="17"/>
      <c r="M35" s="17"/>
      <c r="N35" s="17"/>
      <c r="O35" s="17"/>
      <c r="P35" s="17"/>
      <c r="Q35" s="17"/>
      <c r="R35" s="15" t="e">
        <f t="shared" si="4"/>
        <v>#DIV/0!</v>
      </c>
      <c r="S35" s="15" t="e">
        <f t="shared" si="5"/>
        <v>#DIV/0!</v>
      </c>
      <c r="T35" s="15"/>
      <c r="U35" s="15"/>
      <c r="W35" s="20">
        <v>0.95</v>
      </c>
      <c r="X35" s="20" t="e">
        <f>AVERAGE(R74:R76)</f>
        <v>#DIV/0!</v>
      </c>
      <c r="Y35" s="20" t="e">
        <f>AVERAGE(S74:S76)</f>
        <v>#DIV/0!</v>
      </c>
    </row>
    <row r="36" spans="11:25" x14ac:dyDescent="0.2">
      <c r="K36" s="13" t="s">
        <v>37</v>
      </c>
      <c r="L36" s="17"/>
      <c r="M36" s="17"/>
      <c r="N36" s="17"/>
      <c r="O36" s="17"/>
      <c r="P36" s="17"/>
      <c r="Q36" s="17"/>
      <c r="R36" s="15" t="e">
        <f t="shared" si="4"/>
        <v>#DIV/0!</v>
      </c>
      <c r="S36" s="15" t="e">
        <f t="shared" si="5"/>
        <v>#DIV/0!</v>
      </c>
      <c r="T36" s="15"/>
      <c r="U36" s="15"/>
      <c r="W36" s="20">
        <v>1</v>
      </c>
      <c r="X36" s="20" t="e">
        <f>AVERAGE(R77:R79)</f>
        <v>#DIV/0!</v>
      </c>
      <c r="Y36" s="20" t="e">
        <f>AVERAGE(S77:S79)</f>
        <v>#DIV/0!</v>
      </c>
    </row>
    <row r="37" spans="11:25" x14ac:dyDescent="0.2">
      <c r="K37" s="13" t="s">
        <v>38</v>
      </c>
      <c r="L37" s="17"/>
      <c r="M37" s="17"/>
      <c r="N37" s="17"/>
      <c r="O37" s="17"/>
      <c r="P37" s="17"/>
      <c r="Q37" s="17"/>
      <c r="R37" s="15" t="e">
        <f t="shared" si="4"/>
        <v>#DIV/0!</v>
      </c>
      <c r="S37" s="15" t="e">
        <f t="shared" si="5"/>
        <v>#DIV/0!</v>
      </c>
      <c r="T37" s="15"/>
      <c r="U37" s="15"/>
    </row>
    <row r="38" spans="11:25" x14ac:dyDescent="0.2">
      <c r="K38" s="13" t="s">
        <v>39</v>
      </c>
      <c r="L38" s="17"/>
      <c r="M38" s="17"/>
      <c r="N38" s="17"/>
      <c r="O38" s="17"/>
      <c r="P38" s="17"/>
      <c r="Q38" s="17"/>
      <c r="R38" s="15" t="e">
        <f t="shared" si="4"/>
        <v>#DIV/0!</v>
      </c>
      <c r="S38" s="15" t="e">
        <f t="shared" si="5"/>
        <v>#DIV/0!</v>
      </c>
      <c r="T38" s="15"/>
      <c r="U38" s="15"/>
      <c r="V38" s="28"/>
    </row>
    <row r="39" spans="11:25" x14ac:dyDescent="0.2">
      <c r="K39" s="13" t="s">
        <v>40</v>
      </c>
      <c r="L39" s="17"/>
      <c r="M39" s="17"/>
      <c r="N39" s="17"/>
      <c r="O39" s="17"/>
      <c r="P39" s="17"/>
      <c r="Q39" s="17"/>
      <c r="R39" s="15" t="e">
        <f t="shared" si="4"/>
        <v>#DIV/0!</v>
      </c>
      <c r="S39" s="15" t="e">
        <f t="shared" si="5"/>
        <v>#DIV/0!</v>
      </c>
      <c r="T39" s="15"/>
      <c r="U39" s="15"/>
    </row>
    <row r="40" spans="11:25" x14ac:dyDescent="0.2">
      <c r="K40" s="13" t="s">
        <v>41</v>
      </c>
      <c r="L40" s="17"/>
      <c r="M40" s="17"/>
      <c r="N40" s="17"/>
      <c r="O40" s="17"/>
      <c r="P40" s="17"/>
      <c r="Q40" s="17"/>
      <c r="R40" s="15" t="e">
        <f t="shared" si="4"/>
        <v>#DIV/0!</v>
      </c>
      <c r="S40" s="15" t="e">
        <f t="shared" si="5"/>
        <v>#DIV/0!</v>
      </c>
      <c r="T40" s="15"/>
      <c r="U40" s="15"/>
    </row>
    <row r="41" spans="11:25" x14ac:dyDescent="0.2">
      <c r="K41" s="13" t="s">
        <v>42</v>
      </c>
      <c r="L41" s="17"/>
      <c r="M41" s="17"/>
      <c r="N41" s="17"/>
      <c r="O41" s="17"/>
      <c r="P41" s="17"/>
      <c r="Q41" s="17"/>
      <c r="R41" s="15" t="e">
        <f t="shared" si="4"/>
        <v>#DIV/0!</v>
      </c>
      <c r="S41" s="15" t="e">
        <f t="shared" si="5"/>
        <v>#DIV/0!</v>
      </c>
      <c r="T41" s="15"/>
      <c r="U41" s="17"/>
    </row>
    <row r="42" spans="11:25" x14ac:dyDescent="0.2">
      <c r="K42" s="13" t="s">
        <v>43</v>
      </c>
      <c r="L42" s="17"/>
      <c r="M42" s="17"/>
      <c r="N42" s="17"/>
      <c r="O42" s="17"/>
      <c r="P42" s="17"/>
      <c r="Q42" s="17"/>
      <c r="R42" s="15" t="e">
        <f t="shared" si="4"/>
        <v>#DIV/0!</v>
      </c>
      <c r="S42" s="15" t="e">
        <f t="shared" si="5"/>
        <v>#DIV/0!</v>
      </c>
      <c r="T42" s="15"/>
      <c r="U42" s="17"/>
    </row>
    <row r="43" spans="11:25" x14ac:dyDescent="0.2">
      <c r="K43" s="13" t="s">
        <v>44</v>
      </c>
      <c r="L43" s="17"/>
      <c r="M43" s="17"/>
      <c r="N43" s="17"/>
      <c r="O43" s="17"/>
      <c r="P43" s="17"/>
      <c r="Q43" s="17"/>
      <c r="R43" s="15" t="e">
        <f t="shared" si="4"/>
        <v>#DIV/0!</v>
      </c>
      <c r="S43" s="15" t="e">
        <f t="shared" si="5"/>
        <v>#DIV/0!</v>
      </c>
      <c r="T43" s="15"/>
      <c r="U43" s="17"/>
    </row>
    <row r="44" spans="11:25" x14ac:dyDescent="0.2">
      <c r="K44" s="13" t="s">
        <v>45</v>
      </c>
      <c r="L44" s="17"/>
      <c r="M44" s="17"/>
      <c r="N44" s="17"/>
      <c r="O44" s="17"/>
      <c r="P44" s="17"/>
      <c r="Q44" s="17"/>
      <c r="R44" s="15" t="e">
        <f t="shared" si="4"/>
        <v>#DIV/0!</v>
      </c>
      <c r="S44" s="15" t="e">
        <f t="shared" si="5"/>
        <v>#DIV/0!</v>
      </c>
      <c r="T44" s="15"/>
      <c r="U44" s="15"/>
    </row>
    <row r="45" spans="11:25" x14ac:dyDescent="0.2">
      <c r="K45" s="13" t="s">
        <v>46</v>
      </c>
      <c r="L45" s="17"/>
      <c r="M45" s="17"/>
      <c r="N45" s="17"/>
      <c r="O45" s="17"/>
      <c r="P45" s="17"/>
      <c r="Q45" s="17"/>
      <c r="R45" s="15" t="e">
        <f t="shared" si="4"/>
        <v>#DIV/0!</v>
      </c>
      <c r="S45" s="15" t="e">
        <f t="shared" si="5"/>
        <v>#DIV/0!</v>
      </c>
      <c r="T45" s="15"/>
      <c r="U45" s="15"/>
    </row>
    <row r="46" spans="11:25" x14ac:dyDescent="0.2">
      <c r="K46" s="13" t="s">
        <v>47</v>
      </c>
      <c r="L46" s="17"/>
      <c r="M46" s="17"/>
      <c r="N46" s="17"/>
      <c r="O46" s="17"/>
      <c r="P46" s="17"/>
      <c r="Q46" s="17"/>
      <c r="R46" s="15" t="e">
        <f t="shared" si="4"/>
        <v>#DIV/0!</v>
      </c>
      <c r="S46" s="15" t="e">
        <f t="shared" si="5"/>
        <v>#DIV/0!</v>
      </c>
      <c r="T46" s="15"/>
      <c r="U46" s="15"/>
    </row>
    <row r="47" spans="11:25" x14ac:dyDescent="0.2">
      <c r="K47" s="13" t="s">
        <v>48</v>
      </c>
      <c r="L47" s="17"/>
      <c r="M47" s="17"/>
      <c r="N47" s="17"/>
      <c r="O47" s="17"/>
      <c r="P47" s="17"/>
      <c r="Q47" s="17"/>
      <c r="R47" s="15" t="e">
        <f t="shared" si="4"/>
        <v>#DIV/0!</v>
      </c>
      <c r="S47" s="15" t="e">
        <f t="shared" si="5"/>
        <v>#DIV/0!</v>
      </c>
      <c r="T47" s="15"/>
      <c r="U47" s="15"/>
    </row>
    <row r="48" spans="11:25" x14ac:dyDescent="0.2">
      <c r="K48" s="13" t="s">
        <v>49</v>
      </c>
      <c r="L48" s="17"/>
      <c r="M48" s="17"/>
      <c r="N48" s="17"/>
      <c r="O48" s="17"/>
      <c r="P48" s="17"/>
      <c r="Q48" s="17"/>
      <c r="R48" s="15" t="e">
        <f t="shared" si="4"/>
        <v>#DIV/0!</v>
      </c>
      <c r="S48" s="15" t="e">
        <f t="shared" si="5"/>
        <v>#DIV/0!</v>
      </c>
      <c r="T48" s="15"/>
      <c r="U48" s="15"/>
    </row>
    <row r="49" spans="11:21" x14ac:dyDescent="0.2">
      <c r="K49" s="13" t="s">
        <v>50</v>
      </c>
      <c r="L49" s="17"/>
      <c r="M49" s="17"/>
      <c r="N49" s="17"/>
      <c r="O49" s="17"/>
      <c r="P49" s="17"/>
      <c r="Q49" s="17"/>
      <c r="R49" s="15" t="e">
        <f t="shared" si="4"/>
        <v>#DIV/0!</v>
      </c>
      <c r="S49" s="15" t="e">
        <f t="shared" si="5"/>
        <v>#DIV/0!</v>
      </c>
      <c r="T49" s="15"/>
      <c r="U49" s="15"/>
    </row>
    <row r="50" spans="11:21" x14ac:dyDescent="0.2">
      <c r="K50" s="13" t="s">
        <v>51</v>
      </c>
      <c r="L50" s="17"/>
      <c r="M50" s="17"/>
      <c r="N50" s="17"/>
      <c r="O50" s="17"/>
      <c r="P50" s="17"/>
      <c r="Q50" s="17"/>
      <c r="R50" s="15" t="e">
        <f t="shared" si="4"/>
        <v>#DIV/0!</v>
      </c>
      <c r="S50" s="15" t="e">
        <f t="shared" si="5"/>
        <v>#DIV/0!</v>
      </c>
      <c r="T50" s="15"/>
      <c r="U50" s="15"/>
    </row>
    <row r="51" spans="11:21" x14ac:dyDescent="0.2">
      <c r="K51" s="13" t="s">
        <v>52</v>
      </c>
      <c r="L51" s="17"/>
      <c r="M51" s="17"/>
      <c r="N51" s="17"/>
      <c r="O51" s="17"/>
      <c r="P51" s="17"/>
      <c r="Q51" s="17"/>
      <c r="R51" s="15" t="e">
        <f t="shared" si="4"/>
        <v>#DIV/0!</v>
      </c>
      <c r="S51" s="15" t="e">
        <f t="shared" si="5"/>
        <v>#DIV/0!</v>
      </c>
      <c r="T51" s="15"/>
      <c r="U51" s="15"/>
    </row>
    <row r="52" spans="11:21" x14ac:dyDescent="0.2">
      <c r="K52" s="13" t="s">
        <v>53</v>
      </c>
      <c r="L52" s="17"/>
      <c r="M52" s="17"/>
      <c r="N52" s="17"/>
      <c r="O52" s="17"/>
      <c r="P52" s="17"/>
      <c r="Q52" s="17"/>
      <c r="R52" s="15" t="e">
        <f t="shared" si="4"/>
        <v>#DIV/0!</v>
      </c>
      <c r="S52" s="15" t="e">
        <f t="shared" si="5"/>
        <v>#DIV/0!</v>
      </c>
      <c r="T52" s="15" t="s">
        <v>200</v>
      </c>
      <c r="U52" s="15"/>
    </row>
    <row r="53" spans="11:21" x14ac:dyDescent="0.2">
      <c r="K53" s="13" t="s">
        <v>54</v>
      </c>
      <c r="L53" s="17"/>
      <c r="M53" s="17"/>
      <c r="N53" s="17"/>
      <c r="O53" s="17"/>
      <c r="P53" s="17"/>
      <c r="Q53" s="17"/>
      <c r="R53" s="15" t="e">
        <f t="shared" si="4"/>
        <v>#DIV/0!</v>
      </c>
      <c r="S53" s="15" t="e">
        <f t="shared" si="5"/>
        <v>#DIV/0!</v>
      </c>
      <c r="T53" s="17" t="s">
        <v>202</v>
      </c>
      <c r="U53" s="15"/>
    </row>
    <row r="54" spans="11:21" x14ac:dyDescent="0.2">
      <c r="K54" s="13" t="s">
        <v>55</v>
      </c>
      <c r="L54" s="17"/>
      <c r="M54" s="17"/>
      <c r="N54" s="17"/>
      <c r="O54" s="17"/>
      <c r="P54" s="17"/>
      <c r="Q54" s="17"/>
      <c r="R54" s="15" t="e">
        <f t="shared" si="4"/>
        <v>#DIV/0!</v>
      </c>
      <c r="S54" s="15" t="e">
        <f t="shared" si="5"/>
        <v>#DIV/0!</v>
      </c>
      <c r="T54" s="15"/>
      <c r="U54" s="15"/>
    </row>
    <row r="55" spans="11:21" x14ac:dyDescent="0.2">
      <c r="K55" s="13" t="s">
        <v>56</v>
      </c>
      <c r="L55" s="17"/>
      <c r="M55" s="17"/>
      <c r="N55" s="17"/>
      <c r="O55" s="17"/>
      <c r="P55" s="17"/>
      <c r="Q55" s="17"/>
      <c r="R55" s="15" t="e">
        <f t="shared" si="4"/>
        <v>#DIV/0!</v>
      </c>
      <c r="S55" s="15" t="e">
        <f t="shared" si="5"/>
        <v>#DIV/0!</v>
      </c>
      <c r="T55" s="15"/>
      <c r="U55" s="15"/>
    </row>
    <row r="56" spans="11:21" x14ac:dyDescent="0.2">
      <c r="K56" s="13" t="s">
        <v>57</v>
      </c>
      <c r="L56" s="17"/>
      <c r="M56" s="17"/>
      <c r="N56" s="17"/>
      <c r="O56" s="17"/>
      <c r="P56" s="17"/>
      <c r="Q56" s="17"/>
      <c r="R56" s="15" t="e">
        <f t="shared" si="4"/>
        <v>#DIV/0!</v>
      </c>
      <c r="S56" s="15" t="e">
        <f t="shared" si="5"/>
        <v>#DIV/0!</v>
      </c>
      <c r="T56" s="15"/>
      <c r="U56" s="15"/>
    </row>
    <row r="57" spans="11:21" x14ac:dyDescent="0.2">
      <c r="K57" s="13" t="s">
        <v>58</v>
      </c>
      <c r="L57" s="17"/>
      <c r="M57" s="17"/>
      <c r="N57" s="17"/>
      <c r="O57" s="17"/>
      <c r="P57" s="17"/>
      <c r="Q57" s="17"/>
      <c r="R57" s="15" t="e">
        <f t="shared" si="4"/>
        <v>#DIV/0!</v>
      </c>
      <c r="S57" s="15" t="e">
        <f t="shared" si="5"/>
        <v>#DIV/0!</v>
      </c>
      <c r="T57" s="15"/>
      <c r="U57" s="15"/>
    </row>
    <row r="58" spans="11:21" x14ac:dyDescent="0.2">
      <c r="K58" s="13" t="s">
        <v>59</v>
      </c>
      <c r="L58" s="17"/>
      <c r="M58" s="17"/>
      <c r="N58" s="17"/>
      <c r="O58" s="17"/>
      <c r="P58" s="17"/>
      <c r="Q58" s="17"/>
      <c r="R58" s="15" t="e">
        <f t="shared" si="4"/>
        <v>#DIV/0!</v>
      </c>
      <c r="S58" s="15" t="e">
        <f t="shared" si="5"/>
        <v>#DIV/0!</v>
      </c>
      <c r="T58" s="15"/>
      <c r="U58" s="15"/>
    </row>
    <row r="59" spans="11:21" x14ac:dyDescent="0.2">
      <c r="K59" s="13" t="s">
        <v>60</v>
      </c>
      <c r="L59" s="17"/>
      <c r="M59" s="17"/>
      <c r="N59" s="17"/>
      <c r="O59" s="17"/>
      <c r="P59" s="17"/>
      <c r="Q59" s="17"/>
      <c r="R59" s="15" t="e">
        <f t="shared" si="4"/>
        <v>#DIV/0!</v>
      </c>
      <c r="S59" s="15" t="e">
        <f t="shared" si="5"/>
        <v>#DIV/0!</v>
      </c>
      <c r="T59" s="17"/>
      <c r="U59" s="15"/>
    </row>
    <row r="60" spans="11:21" x14ac:dyDescent="0.2">
      <c r="K60" s="13" t="s">
        <v>61</v>
      </c>
      <c r="L60" s="17"/>
      <c r="M60" s="17"/>
      <c r="N60" s="17"/>
      <c r="O60" s="17"/>
      <c r="P60" s="17"/>
      <c r="Q60" s="17"/>
      <c r="R60" s="15" t="e">
        <f t="shared" si="4"/>
        <v>#DIV/0!</v>
      </c>
      <c r="S60" s="15" t="e">
        <f t="shared" si="5"/>
        <v>#DIV/0!</v>
      </c>
      <c r="T60" s="15"/>
      <c r="U60" s="15"/>
    </row>
    <row r="61" spans="11:21" x14ac:dyDescent="0.2">
      <c r="K61" s="13" t="s">
        <v>62</v>
      </c>
      <c r="L61" s="17"/>
      <c r="M61" s="17"/>
      <c r="N61" s="17"/>
      <c r="O61" s="17"/>
      <c r="P61" s="17"/>
      <c r="Q61" s="17"/>
      <c r="R61" s="15" t="e">
        <f t="shared" si="4"/>
        <v>#DIV/0!</v>
      </c>
      <c r="S61" s="15" t="e">
        <f t="shared" si="5"/>
        <v>#DIV/0!</v>
      </c>
      <c r="T61" s="15"/>
      <c r="U61" s="15"/>
    </row>
    <row r="62" spans="11:21" x14ac:dyDescent="0.2">
      <c r="K62" s="13" t="s">
        <v>63</v>
      </c>
      <c r="L62" s="17"/>
      <c r="M62" s="17"/>
      <c r="N62" s="17"/>
      <c r="O62" s="17"/>
      <c r="P62" s="17"/>
      <c r="Q62" s="17"/>
      <c r="R62" s="15" t="e">
        <f t="shared" si="4"/>
        <v>#DIV/0!</v>
      </c>
      <c r="S62" s="15" t="e">
        <f t="shared" si="5"/>
        <v>#DIV/0!</v>
      </c>
      <c r="T62" s="15"/>
      <c r="U62" s="17"/>
    </row>
    <row r="63" spans="11:21" x14ac:dyDescent="0.2">
      <c r="K63" s="13" t="s">
        <v>64</v>
      </c>
      <c r="L63" s="17"/>
      <c r="M63" s="17"/>
      <c r="N63" s="17"/>
      <c r="O63" s="17"/>
      <c r="P63" s="17"/>
      <c r="Q63" s="17"/>
      <c r="R63" s="15" t="e">
        <f t="shared" si="4"/>
        <v>#DIV/0!</v>
      </c>
      <c r="S63" s="15" t="e">
        <f t="shared" si="5"/>
        <v>#DIV/0!</v>
      </c>
      <c r="T63" s="15"/>
      <c r="U63" s="15"/>
    </row>
    <row r="64" spans="11:21" x14ac:dyDescent="0.2">
      <c r="K64" s="13" t="s">
        <v>65</v>
      </c>
      <c r="L64" s="17"/>
      <c r="M64" s="17"/>
      <c r="N64" s="17"/>
      <c r="O64" s="17"/>
      <c r="P64" s="17"/>
      <c r="Q64" s="17"/>
      <c r="R64" s="15" t="e">
        <f t="shared" si="4"/>
        <v>#DIV/0!</v>
      </c>
      <c r="S64" s="15" t="e">
        <f t="shared" si="5"/>
        <v>#DIV/0!</v>
      </c>
      <c r="T64" s="15"/>
      <c r="U64" s="15"/>
    </row>
    <row r="65" spans="11:21" x14ac:dyDescent="0.2">
      <c r="K65" s="13" t="s">
        <v>66</v>
      </c>
      <c r="L65" s="17"/>
      <c r="M65" s="15"/>
      <c r="N65" s="15"/>
      <c r="O65" s="15"/>
      <c r="P65" s="15"/>
      <c r="Q65" s="15"/>
      <c r="R65" s="15" t="e">
        <f t="shared" si="4"/>
        <v>#DIV/0!</v>
      </c>
      <c r="S65" s="15" t="e">
        <f t="shared" si="5"/>
        <v>#DIV/0!</v>
      </c>
      <c r="T65" s="15"/>
      <c r="U65" s="15"/>
    </row>
    <row r="66" spans="11:21" x14ac:dyDescent="0.2">
      <c r="K66" s="13" t="s">
        <v>67</v>
      </c>
      <c r="L66" s="17"/>
      <c r="M66" s="17"/>
      <c r="N66" s="15"/>
      <c r="O66" s="15"/>
      <c r="P66" s="15"/>
      <c r="Q66" s="15"/>
      <c r="R66" s="15" t="e">
        <f t="shared" si="4"/>
        <v>#DIV/0!</v>
      </c>
      <c r="S66" s="15" t="e">
        <f t="shared" si="5"/>
        <v>#DIV/0!</v>
      </c>
      <c r="T66" s="15"/>
      <c r="U66" s="15"/>
    </row>
    <row r="67" spans="11:21" x14ac:dyDescent="0.2">
      <c r="K67" s="13" t="s">
        <v>68</v>
      </c>
      <c r="L67" s="17"/>
      <c r="M67" s="15"/>
      <c r="N67" s="15"/>
      <c r="O67" s="15"/>
      <c r="P67" s="15"/>
      <c r="Q67" s="15"/>
      <c r="R67" s="15" t="e">
        <f t="shared" si="4"/>
        <v>#DIV/0!</v>
      </c>
      <c r="S67" s="15" t="e">
        <f t="shared" si="5"/>
        <v>#DIV/0!</v>
      </c>
      <c r="T67" s="15"/>
      <c r="U67" s="15"/>
    </row>
    <row r="68" spans="11:21" x14ac:dyDescent="0.2">
      <c r="K68" s="13" t="s">
        <v>69</v>
      </c>
      <c r="L68" s="17"/>
      <c r="M68" s="15"/>
      <c r="N68" s="15"/>
      <c r="O68" s="15"/>
      <c r="P68" s="15"/>
      <c r="Q68" s="15"/>
      <c r="R68" s="15" t="e">
        <f t="shared" si="4"/>
        <v>#DIV/0!</v>
      </c>
      <c r="S68" s="15" t="e">
        <f t="shared" si="5"/>
        <v>#DIV/0!</v>
      </c>
      <c r="T68" s="15"/>
      <c r="U68" s="15"/>
    </row>
    <row r="69" spans="11:21" x14ac:dyDescent="0.2">
      <c r="K69" s="13" t="s">
        <v>70</v>
      </c>
      <c r="L69" s="17"/>
      <c r="M69" s="15"/>
      <c r="N69" s="15"/>
      <c r="O69" s="15"/>
      <c r="P69" s="15"/>
      <c r="Q69" s="15"/>
      <c r="R69" s="15" t="e">
        <f t="shared" si="4"/>
        <v>#DIV/0!</v>
      </c>
      <c r="S69" s="15" t="e">
        <f t="shared" si="5"/>
        <v>#DIV/0!</v>
      </c>
      <c r="T69" s="17"/>
      <c r="U69" s="15"/>
    </row>
    <row r="70" spans="11:21" x14ac:dyDescent="0.2">
      <c r="K70" s="13" t="s">
        <v>71</v>
      </c>
      <c r="L70" s="17"/>
      <c r="M70" s="15"/>
      <c r="N70" s="15"/>
      <c r="O70" s="15"/>
      <c r="P70" s="15"/>
      <c r="Q70" s="15"/>
      <c r="R70" s="15" t="e">
        <f t="shared" si="4"/>
        <v>#DIV/0!</v>
      </c>
      <c r="S70" s="15" t="e">
        <f t="shared" si="5"/>
        <v>#DIV/0!</v>
      </c>
      <c r="T70" s="15"/>
      <c r="U70" s="15"/>
    </row>
    <row r="71" spans="11:21" x14ac:dyDescent="0.2">
      <c r="K71" s="13" t="s">
        <v>72</v>
      </c>
      <c r="L71" s="17"/>
      <c r="M71" s="15"/>
      <c r="N71" s="15"/>
      <c r="O71" s="15"/>
      <c r="P71" s="15"/>
      <c r="Q71" s="15"/>
      <c r="R71" s="15" t="e">
        <f t="shared" si="4"/>
        <v>#DIV/0!</v>
      </c>
      <c r="S71" s="15" t="e">
        <f t="shared" si="5"/>
        <v>#DIV/0!</v>
      </c>
      <c r="T71" s="15"/>
      <c r="U71" s="15"/>
    </row>
    <row r="72" spans="11:21" x14ac:dyDescent="0.2">
      <c r="K72" s="13" t="s">
        <v>73</v>
      </c>
      <c r="L72" s="17"/>
      <c r="M72" s="15"/>
      <c r="N72" s="15"/>
      <c r="O72" s="15"/>
      <c r="P72" s="15"/>
      <c r="Q72" s="15"/>
      <c r="R72" s="15" t="e">
        <f t="shared" si="4"/>
        <v>#DIV/0!</v>
      </c>
      <c r="S72" s="15" t="e">
        <f t="shared" si="5"/>
        <v>#DIV/0!</v>
      </c>
      <c r="T72" s="15"/>
      <c r="U72" s="15"/>
    </row>
    <row r="73" spans="11:21" x14ac:dyDescent="0.2">
      <c r="K73" s="13" t="s">
        <v>74</v>
      </c>
      <c r="L73" s="13"/>
      <c r="M73" s="15"/>
      <c r="N73" s="15"/>
      <c r="O73" s="15"/>
      <c r="P73" s="15"/>
      <c r="Q73" s="15"/>
      <c r="R73" s="15" t="e">
        <f t="shared" si="4"/>
        <v>#DIV/0!</v>
      </c>
      <c r="S73" s="15" t="e">
        <f t="shared" si="5"/>
        <v>#DIV/0!</v>
      </c>
      <c r="T73" s="15"/>
      <c r="U73" s="15"/>
    </row>
    <row r="74" spans="11:21" x14ac:dyDescent="0.2">
      <c r="K74" s="13" t="s">
        <v>75</v>
      </c>
      <c r="L74" s="13"/>
      <c r="M74" s="15"/>
      <c r="N74" s="15"/>
      <c r="O74" s="15"/>
      <c r="P74" s="15"/>
      <c r="Q74" s="15"/>
      <c r="R74" s="15" t="e">
        <f t="shared" si="4"/>
        <v>#DIV/0!</v>
      </c>
      <c r="S74" s="15" t="e">
        <f t="shared" si="5"/>
        <v>#DIV/0!</v>
      </c>
      <c r="T74" s="15"/>
      <c r="U74" s="15"/>
    </row>
    <row r="75" spans="11:21" x14ac:dyDescent="0.2">
      <c r="K75" s="13" t="s">
        <v>76</v>
      </c>
      <c r="L75" s="13"/>
      <c r="M75" s="15"/>
      <c r="N75" s="15"/>
      <c r="O75" s="15"/>
      <c r="P75" s="15"/>
      <c r="Q75" s="15"/>
      <c r="R75" s="15" t="e">
        <f t="shared" si="4"/>
        <v>#DIV/0!</v>
      </c>
      <c r="S75" s="15" t="e">
        <f t="shared" si="5"/>
        <v>#DIV/0!</v>
      </c>
      <c r="T75" s="15"/>
      <c r="U75" s="15"/>
    </row>
    <row r="76" spans="11:21" x14ac:dyDescent="0.2">
      <c r="K76" s="13" t="s">
        <v>77</v>
      </c>
      <c r="L76" s="13"/>
      <c r="M76" s="15"/>
      <c r="N76" s="15"/>
      <c r="O76" s="15"/>
      <c r="P76" s="15"/>
      <c r="Q76" s="15"/>
      <c r="R76" s="15" t="e">
        <f t="shared" si="4"/>
        <v>#DIV/0!</v>
      </c>
      <c r="S76" s="15" t="e">
        <f t="shared" si="5"/>
        <v>#DIV/0!</v>
      </c>
      <c r="T76" s="15"/>
      <c r="U76" s="15"/>
    </row>
    <row r="77" spans="11:21" x14ac:dyDescent="0.2">
      <c r="K77" s="13" t="s">
        <v>78</v>
      </c>
      <c r="L77" s="13"/>
      <c r="M77" s="15"/>
      <c r="N77" s="15"/>
      <c r="O77" s="15"/>
      <c r="P77" s="15"/>
      <c r="Q77" s="15"/>
      <c r="R77" s="15" t="e">
        <f t="shared" si="4"/>
        <v>#DIV/0!</v>
      </c>
      <c r="S77" s="15" t="e">
        <f t="shared" si="5"/>
        <v>#DIV/0!</v>
      </c>
      <c r="T77" s="15"/>
      <c r="U77" s="15"/>
    </row>
    <row r="78" spans="11:21" x14ac:dyDescent="0.2">
      <c r="K78" s="13" t="s">
        <v>79</v>
      </c>
      <c r="L78" s="13"/>
      <c r="M78" s="15"/>
      <c r="N78" s="15"/>
      <c r="O78" s="15"/>
      <c r="P78" s="15"/>
      <c r="Q78" s="15"/>
      <c r="R78" s="15" t="e">
        <f t="shared" si="4"/>
        <v>#DIV/0!</v>
      </c>
      <c r="S78" s="15" t="e">
        <f t="shared" si="5"/>
        <v>#DIV/0!</v>
      </c>
      <c r="T78" s="15"/>
      <c r="U78" s="15"/>
    </row>
    <row r="79" spans="11:21" x14ac:dyDescent="0.2">
      <c r="K79" s="13" t="s">
        <v>80</v>
      </c>
      <c r="L79" s="13"/>
      <c r="M79" s="15"/>
      <c r="N79" s="15"/>
      <c r="O79" s="15"/>
      <c r="P79" s="15"/>
      <c r="Q79" s="15"/>
      <c r="R79" s="15" t="e">
        <f t="shared" si="4"/>
        <v>#DIV/0!</v>
      </c>
      <c r="S79" s="15" t="e">
        <f t="shared" si="5"/>
        <v>#DIV/0!</v>
      </c>
      <c r="T79" s="15"/>
      <c r="U79" s="15"/>
    </row>
    <row r="80" spans="11:21" x14ac:dyDescent="0.2">
      <c r="K80" s="15"/>
      <c r="L80" s="17"/>
      <c r="M80" s="15"/>
      <c r="N80" s="15"/>
      <c r="O80" s="15"/>
      <c r="P80" s="15"/>
      <c r="Q80" s="15"/>
      <c r="R80" s="15"/>
      <c r="S80" s="15"/>
      <c r="T80" s="15"/>
      <c r="U80" s="1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4A3EC-75E1-9A40-BE6D-210203241E15}">
  <dimension ref="B1:N14"/>
  <sheetViews>
    <sheetView workbookViewId="0">
      <selection activeCell="H11" sqref="H11"/>
    </sheetView>
  </sheetViews>
  <sheetFormatPr baseColWidth="10" defaultRowHeight="16" x14ac:dyDescent="0.2"/>
  <cols>
    <col min="1" max="2" width="10.83203125" style="35"/>
    <col min="3" max="3" width="16.83203125" style="35" customWidth="1"/>
    <col min="4" max="4" width="19.6640625" style="35" customWidth="1"/>
    <col min="5" max="5" width="18.1640625" style="35" customWidth="1"/>
    <col min="6" max="7" width="10.83203125" style="35"/>
    <col min="8" max="8" width="13.33203125" style="35" customWidth="1"/>
    <col min="9" max="9" width="13.83203125" style="35" customWidth="1"/>
    <col min="10" max="10" width="14.83203125" style="35" customWidth="1"/>
    <col min="11" max="16384" width="10.83203125" style="35"/>
  </cols>
  <sheetData>
    <row r="1" spans="2:14" x14ac:dyDescent="0.2">
      <c r="H1" s="35" t="s">
        <v>296</v>
      </c>
      <c r="L1" s="35" t="s">
        <v>12</v>
      </c>
    </row>
    <row r="2" spans="2:14" x14ac:dyDescent="0.2">
      <c r="C2" s="35" t="s">
        <v>14</v>
      </c>
      <c r="D2" s="35" t="s">
        <v>15</v>
      </c>
      <c r="E2" s="35" t="s">
        <v>16</v>
      </c>
      <c r="H2" s="35" t="s">
        <v>14</v>
      </c>
      <c r="I2" s="35" t="s">
        <v>15</v>
      </c>
      <c r="J2" s="35" t="s">
        <v>16</v>
      </c>
      <c r="L2" s="35" t="s">
        <v>14</v>
      </c>
      <c r="M2" s="35" t="s">
        <v>15</v>
      </c>
      <c r="N2" s="35" t="s">
        <v>16</v>
      </c>
    </row>
    <row r="3" spans="2:14" x14ac:dyDescent="0.2">
      <c r="B3" s="35" t="s">
        <v>253</v>
      </c>
      <c r="C3" s="34" t="s">
        <v>261</v>
      </c>
      <c r="D3" s="36" t="s">
        <v>262</v>
      </c>
      <c r="E3" s="36" t="s">
        <v>263</v>
      </c>
      <c r="G3" s="35" t="s">
        <v>253</v>
      </c>
      <c r="H3" s="34">
        <v>0.83599999999999997</v>
      </c>
      <c r="I3" s="36">
        <v>0.76400000000000001</v>
      </c>
      <c r="J3" s="36">
        <v>0.51300000000000001</v>
      </c>
      <c r="L3" s="35">
        <v>3.2000000000000001E-2</v>
      </c>
      <c r="M3" s="35">
        <v>1.4999999999999999E-2</v>
      </c>
      <c r="N3" s="35">
        <v>0.10100000000000001</v>
      </c>
    </row>
    <row r="4" spans="2:14" x14ac:dyDescent="0.2">
      <c r="B4" s="35" t="s">
        <v>254</v>
      </c>
      <c r="C4" s="36" t="s">
        <v>280</v>
      </c>
      <c r="D4" s="36" t="s">
        <v>264</v>
      </c>
      <c r="E4" s="36" t="s">
        <v>265</v>
      </c>
      <c r="G4" s="35" t="s">
        <v>254</v>
      </c>
      <c r="H4" s="36">
        <v>0.92</v>
      </c>
      <c r="I4" s="36">
        <v>0.82699999999999996</v>
      </c>
      <c r="J4" s="36">
        <v>0.75700000000000001</v>
      </c>
      <c r="L4" s="35">
        <v>0.02</v>
      </c>
      <c r="M4" s="35">
        <v>1.9E-2</v>
      </c>
      <c r="N4" s="35">
        <v>0.11</v>
      </c>
    </row>
    <row r="5" spans="2:14" x14ac:dyDescent="0.2">
      <c r="B5" s="35" t="s">
        <v>255</v>
      </c>
      <c r="C5" s="36" t="s">
        <v>266</v>
      </c>
      <c r="D5" s="36" t="s">
        <v>267</v>
      </c>
      <c r="E5" s="36" t="s">
        <v>268</v>
      </c>
      <c r="G5" s="35" t="s">
        <v>255</v>
      </c>
      <c r="H5" s="36">
        <v>0.83599999999999997</v>
      </c>
      <c r="I5" s="36">
        <v>0.75800000000000001</v>
      </c>
      <c r="J5" s="36">
        <v>0.74399999999999999</v>
      </c>
      <c r="L5" s="35">
        <v>7.5999999999999998E-2</v>
      </c>
      <c r="M5" s="35">
        <v>2.1000000000000001E-2</v>
      </c>
      <c r="N5" s="35">
        <v>6.3E-2</v>
      </c>
    </row>
    <row r="6" spans="2:14" x14ac:dyDescent="0.2">
      <c r="B6" s="35" t="s">
        <v>256</v>
      </c>
      <c r="C6" s="36" t="s">
        <v>269</v>
      </c>
      <c r="D6" s="36" t="s">
        <v>270</v>
      </c>
      <c r="E6" s="36" t="s">
        <v>271</v>
      </c>
      <c r="G6" s="35" t="s">
        <v>256</v>
      </c>
      <c r="H6" s="36">
        <v>0.56899999999999995</v>
      </c>
      <c r="I6" s="36">
        <v>0.55800000000000005</v>
      </c>
      <c r="J6" s="36">
        <v>0.57699999999999996</v>
      </c>
      <c r="L6" s="35">
        <v>1.9E-2</v>
      </c>
      <c r="M6" s="35">
        <v>2.1999999999999999E-2</v>
      </c>
      <c r="N6" s="35">
        <v>2.1999999999999999E-2</v>
      </c>
    </row>
    <row r="7" spans="2:14" x14ac:dyDescent="0.2">
      <c r="B7" s="35" t="s">
        <v>257</v>
      </c>
      <c r="C7" s="36" t="s">
        <v>272</v>
      </c>
      <c r="D7" s="36" t="s">
        <v>273</v>
      </c>
      <c r="E7" s="36" t="s">
        <v>274</v>
      </c>
      <c r="G7" s="35" t="s">
        <v>257</v>
      </c>
      <c r="H7" s="36">
        <v>0.85399999999999998</v>
      </c>
      <c r="I7" s="36">
        <v>0.86499999999999999</v>
      </c>
      <c r="J7" s="36">
        <v>0.85799999999999998</v>
      </c>
      <c r="L7" s="35">
        <v>7.5999999999999998E-2</v>
      </c>
      <c r="M7" s="35">
        <v>2.1000000000000001E-2</v>
      </c>
      <c r="N7" s="35">
        <v>6.2E-2</v>
      </c>
    </row>
    <row r="8" spans="2:14" x14ac:dyDescent="0.2">
      <c r="C8" s="36"/>
      <c r="D8" s="36"/>
      <c r="E8" s="36"/>
    </row>
    <row r="9" spans="2:14" x14ac:dyDescent="0.2">
      <c r="C9" s="36"/>
      <c r="D9" s="36"/>
      <c r="E9" s="36"/>
    </row>
    <row r="10" spans="2:14" x14ac:dyDescent="0.2">
      <c r="C10" s="36"/>
      <c r="D10" s="36"/>
      <c r="E10" s="36"/>
      <c r="H10" s="35" t="s">
        <v>296</v>
      </c>
      <c r="L10" s="35" t="s">
        <v>12</v>
      </c>
    </row>
    <row r="11" spans="2:14" x14ac:dyDescent="0.2">
      <c r="C11" s="37" t="s">
        <v>14</v>
      </c>
      <c r="D11" s="37" t="s">
        <v>15</v>
      </c>
      <c r="E11" s="37" t="s">
        <v>16</v>
      </c>
      <c r="H11" s="37" t="s">
        <v>14</v>
      </c>
      <c r="I11" s="37" t="s">
        <v>15</v>
      </c>
      <c r="J11" s="37" t="s">
        <v>16</v>
      </c>
      <c r="L11" s="37" t="s">
        <v>14</v>
      </c>
      <c r="M11" s="37" t="s">
        <v>15</v>
      </c>
      <c r="N11" s="37" t="s">
        <v>16</v>
      </c>
    </row>
    <row r="12" spans="2:14" x14ac:dyDescent="0.2">
      <c r="B12" s="35" t="s">
        <v>258</v>
      </c>
      <c r="C12" s="36" t="s">
        <v>292</v>
      </c>
      <c r="D12" s="36" t="s">
        <v>294</v>
      </c>
      <c r="E12" s="36" t="s">
        <v>295</v>
      </c>
      <c r="G12" s="35" t="s">
        <v>258</v>
      </c>
      <c r="H12" s="36">
        <v>0.64900000000000002</v>
      </c>
      <c r="I12" s="36">
        <v>0.90500000000000003</v>
      </c>
      <c r="J12" s="36">
        <v>0.82899999999999996</v>
      </c>
      <c r="L12" s="35">
        <v>4.7E-2</v>
      </c>
      <c r="M12" s="35">
        <v>5.0999999999999997E-2</v>
      </c>
      <c r="N12" s="35">
        <v>0.14499999999999999</v>
      </c>
    </row>
    <row r="13" spans="2:14" x14ac:dyDescent="0.2">
      <c r="B13" s="35" t="s">
        <v>259</v>
      </c>
      <c r="C13" s="36" t="s">
        <v>275</v>
      </c>
      <c r="D13" s="36" t="s">
        <v>276</v>
      </c>
      <c r="E13" s="36" t="s">
        <v>277</v>
      </c>
      <c r="G13" s="35" t="s">
        <v>259</v>
      </c>
      <c r="H13" s="36">
        <v>2.645</v>
      </c>
      <c r="I13" s="36">
        <v>4.0030000000000001</v>
      </c>
      <c r="J13" s="36">
        <v>2.2269999999999999</v>
      </c>
      <c r="L13" s="35">
        <v>0.64800000000000002</v>
      </c>
      <c r="M13" s="35">
        <v>0.20499999999999999</v>
      </c>
      <c r="N13" s="35">
        <v>0.60699999999999998</v>
      </c>
    </row>
    <row r="14" spans="2:14" x14ac:dyDescent="0.2">
      <c r="B14" s="35" t="s">
        <v>260</v>
      </c>
      <c r="C14" s="36" t="s">
        <v>293</v>
      </c>
      <c r="D14" s="36" t="s">
        <v>278</v>
      </c>
      <c r="E14" s="36" t="s">
        <v>279</v>
      </c>
      <c r="G14" s="35" t="s">
        <v>260</v>
      </c>
      <c r="H14" s="36">
        <v>0.53</v>
      </c>
      <c r="I14" s="36">
        <v>0.63400000000000001</v>
      </c>
      <c r="J14" s="36">
        <v>0.66500000000000004</v>
      </c>
      <c r="L14" s="35">
        <v>2.1000000000000001E-2</v>
      </c>
      <c r="M14" s="35">
        <v>1.4999999999999999E-2</v>
      </c>
      <c r="N14" s="35">
        <v>0.11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bace</vt:lpstr>
      <vt:lpstr>bbbp</vt:lpstr>
      <vt:lpstr>clintox</vt:lpstr>
      <vt:lpstr>delaney</vt:lpstr>
      <vt:lpstr>freesolv</vt:lpstr>
      <vt:lpstr>lipo</vt:lpstr>
      <vt:lpstr>sider</vt:lpstr>
      <vt:lpstr>tox21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 Do</dc:creator>
  <cp:lastModifiedBy>Vy Do</cp:lastModifiedBy>
  <dcterms:created xsi:type="dcterms:W3CDTF">2025-11-11T04:58:41Z</dcterms:created>
  <dcterms:modified xsi:type="dcterms:W3CDTF">2026-01-15T15:46:18Z</dcterms:modified>
</cp:coreProperties>
</file>